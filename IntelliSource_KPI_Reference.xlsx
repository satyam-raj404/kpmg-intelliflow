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curement" sheetId="2" state="visible" r:id="rId2"/>
    <sheet name="Financial" sheetId="3" state="visible" r:id="rId3"/>
    <sheet name="Leadership" sheetId="4" state="visible" r:id="rId4"/>
    <sheet name="Vendor" sheetId="5" state="visible" r:id="rId5"/>
    <sheet name="Utiliz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44444"/>
      <sz val="9"/>
    </font>
    <font>
      <name val="Calibri"/>
      <b val="1"/>
      <color rgb="00FFFFFF"/>
      <sz val="10"/>
    </font>
    <font>
      <name val="Calibri"/>
      <color rgb="00222222"/>
      <sz val="9"/>
    </font>
    <font>
      <name val="Calibri"/>
      <b val="1"/>
      <color rgb="001F3864"/>
      <sz val="9"/>
    </font>
    <font>
      <name val="Calibri"/>
      <b val="1"/>
      <color rgb="001A5276"/>
      <sz val="9"/>
    </font>
    <font>
      <name val="Calibri"/>
      <b val="1"/>
      <color rgb="004A235A"/>
      <sz val="9"/>
    </font>
    <font>
      <name val="Calibri"/>
      <b val="1"/>
      <color rgb="001B4F72"/>
      <sz val="9"/>
    </font>
    <font>
      <name val="Calibri"/>
      <b val="1"/>
      <color rgb="00154360"/>
      <sz val="9"/>
    </font>
    <font>
      <name val="Calibri"/>
      <b val="1"/>
      <color rgb="00FFFFFF"/>
      <sz val="13"/>
    </font>
    <font>
      <name val="Calibri"/>
      <i val="1"/>
      <color rgb="00555555"/>
      <sz val="8"/>
    </font>
    <font>
      <name val="Courier New"/>
      <b val="1"/>
      <color rgb="001F3864"/>
      <sz val="9"/>
    </font>
    <font>
      <name val="Calibri"/>
      <i val="1"/>
      <color rgb="00555555"/>
      <sz val="9"/>
    </font>
    <font>
      <name val="Calibri"/>
      <color rgb="00333333"/>
      <sz val="9"/>
    </font>
    <font>
      <name val="Courier New"/>
      <color rgb="001A1A2E"/>
      <sz val="8"/>
    </font>
    <font>
      <name val="Courier New"/>
      <b val="1"/>
      <color rgb="001A5276"/>
      <sz val="9"/>
    </font>
    <font>
      <name val="Courier New"/>
      <b val="1"/>
      <color rgb="004A235A"/>
      <sz val="9"/>
    </font>
    <font>
      <name val="Courier New"/>
      <b val="1"/>
      <color rgb="001B4F72"/>
      <sz val="9"/>
    </font>
    <font>
      <name val="Courier New"/>
      <b val="1"/>
      <color rgb="00154360"/>
      <sz val="9"/>
    </font>
  </fonts>
  <fills count="18">
    <fill>
      <patternFill/>
    </fill>
    <fill>
      <patternFill patternType="gray125"/>
    </fill>
    <fill>
      <patternFill patternType="solid">
        <fgColor rgb="001F2F4A"/>
      </patternFill>
    </fill>
    <fill>
      <patternFill patternType="solid">
        <fgColor rgb="00E8EEF4"/>
      </patternFill>
    </fill>
    <fill>
      <patternFill patternType="solid">
        <fgColor rgb="00004C97"/>
      </patternFill>
    </fill>
    <fill>
      <patternFill patternType="solid">
        <fgColor rgb="00FFFFFF"/>
      </patternFill>
    </fill>
    <fill>
      <patternFill patternType="solid">
        <fgColor rgb="00F4F6F9"/>
      </patternFill>
    </fill>
    <fill>
      <patternFill patternType="solid">
        <fgColor rgb="001F3864"/>
      </patternFill>
    </fill>
    <fill>
      <patternFill patternType="solid">
        <fgColor rgb="00F0F4F8"/>
      </patternFill>
    </fill>
    <fill>
      <patternFill patternType="solid">
        <fgColor rgb="00D6E4F0"/>
      </patternFill>
    </fill>
    <fill>
      <patternFill patternType="solid">
        <fgColor rgb="001A5276"/>
      </patternFill>
    </fill>
    <fill>
      <patternFill patternType="solid">
        <fgColor rgb="00D5F5E3"/>
      </patternFill>
    </fill>
    <fill>
      <patternFill patternType="solid">
        <fgColor rgb="004A235A"/>
      </patternFill>
    </fill>
    <fill>
      <patternFill patternType="solid">
        <fgColor rgb="00F5EEF8"/>
      </patternFill>
    </fill>
    <fill>
      <patternFill patternType="solid">
        <fgColor rgb="001B4F72"/>
      </patternFill>
    </fill>
    <fill>
      <patternFill patternType="solid">
        <fgColor rgb="00EBF5FB"/>
      </patternFill>
    </fill>
    <fill>
      <patternFill patternType="solid">
        <fgColor rgb="00154360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left" vertical="top"/>
    </xf>
    <xf numFmtId="0" fontId="4" fillId="6" borderId="1" applyAlignment="1" pivotButton="0" quotePrefix="0" xfId="0">
      <alignment horizontal="left" vertical="top"/>
    </xf>
    <xf numFmtId="0" fontId="5" fillId="6" borderId="1" applyAlignment="1" pivotButton="0" quotePrefix="0" xfId="0">
      <alignment horizontal="left" vertical="top"/>
    </xf>
    <xf numFmtId="0" fontId="6" fillId="5" borderId="1" applyAlignment="1" pivotButton="0" quotePrefix="0" xfId="0">
      <alignment horizontal="left" vertical="top"/>
    </xf>
    <xf numFmtId="0" fontId="6" fillId="6" borderId="1" applyAlignment="1" pivotButton="0" quotePrefix="0" xfId="0">
      <alignment horizontal="left" vertical="top"/>
    </xf>
    <xf numFmtId="0" fontId="7" fillId="5" borderId="1" applyAlignment="1" pivotButton="0" quotePrefix="0" xfId="0">
      <alignment horizontal="left" vertical="top"/>
    </xf>
    <xf numFmtId="0" fontId="7" fillId="6" borderId="1" applyAlignment="1" pivotButton="0" quotePrefix="0" xfId="0">
      <alignment horizontal="left" vertical="top"/>
    </xf>
    <xf numFmtId="0" fontId="8" fillId="6" borderId="1" applyAlignment="1" pivotButton="0" quotePrefix="0" xfId="0">
      <alignment horizontal="left" vertical="top"/>
    </xf>
    <xf numFmtId="0" fontId="8" fillId="5" borderId="1" applyAlignment="1" pivotButton="0" quotePrefix="0" xfId="0">
      <alignment horizontal="left" vertical="top"/>
    </xf>
    <xf numFmtId="0" fontId="9" fillId="5" borderId="1" applyAlignment="1" pivotButton="0" quotePrefix="0" xfId="0">
      <alignment horizontal="left" vertical="top"/>
    </xf>
    <xf numFmtId="0" fontId="9" fillId="6" borderId="1" applyAlignment="1" pivotButton="0" quotePrefix="0" xfId="0">
      <alignment horizontal="left" vertical="top"/>
    </xf>
    <xf numFmtId="0" fontId="10" fillId="7" borderId="0" applyAlignment="1" pivotButton="0" quotePrefix="0" xfId="0">
      <alignment horizontal="center" vertical="top"/>
    </xf>
    <xf numFmtId="0" fontId="11" fillId="8" borderId="0" applyAlignment="1" pivotButton="0" quotePrefix="0" xfId="0">
      <alignment horizontal="left" vertical="top"/>
    </xf>
    <xf numFmtId="0" fontId="3" fillId="7" borderId="1" applyAlignment="1" pivotButton="0" quotePrefix="0" xfId="0">
      <alignment horizontal="center" vertical="top"/>
    </xf>
    <xf numFmtId="0" fontId="12" fillId="5" borderId="1" applyAlignment="1" pivotButton="0" quotePrefix="0" xfId="0">
      <alignment horizontal="left" vertical="top"/>
    </xf>
    <xf numFmtId="0" fontId="13" fillId="5" borderId="1" applyAlignment="1" pivotButton="0" quotePrefix="0" xfId="0">
      <alignment horizontal="center" vertical="top"/>
    </xf>
    <xf numFmtId="0" fontId="14" fillId="5" borderId="1" applyAlignment="1" pivotButton="0" quotePrefix="0" xfId="0">
      <alignment horizontal="left" vertical="top" wrapText="1"/>
    </xf>
    <xf numFmtId="0" fontId="15" fillId="5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/>
    </xf>
    <xf numFmtId="0" fontId="12" fillId="9" borderId="1" applyAlignment="1" pivotButton="0" quotePrefix="0" xfId="0">
      <alignment horizontal="left" vertical="top"/>
    </xf>
    <xf numFmtId="0" fontId="13" fillId="9" borderId="1" applyAlignment="1" pivotButton="0" quotePrefix="0" xfId="0">
      <alignment horizontal="center" vertical="top"/>
    </xf>
    <xf numFmtId="0" fontId="14" fillId="9" borderId="1" applyAlignment="1" pivotButton="0" quotePrefix="0" xfId="0">
      <alignment horizontal="left" vertical="top" wrapText="1"/>
    </xf>
    <xf numFmtId="0" fontId="15" fillId="9" borderId="1" applyAlignment="1" pivotButton="0" quotePrefix="0" xfId="0">
      <alignment horizontal="left" vertical="top" wrapText="1"/>
    </xf>
    <xf numFmtId="0" fontId="10" fillId="10" borderId="0" applyAlignment="1" pivotButton="0" quotePrefix="0" xfId="0">
      <alignment horizontal="center" vertical="top"/>
    </xf>
    <xf numFmtId="0" fontId="3" fillId="10" borderId="1" applyAlignment="1" pivotButton="0" quotePrefix="0" xfId="0">
      <alignment horizontal="center" vertical="top"/>
    </xf>
    <xf numFmtId="0" fontId="16" fillId="5" borderId="1" applyAlignment="1" pivotButton="0" quotePrefix="0" xfId="0">
      <alignment horizontal="left" vertical="top"/>
    </xf>
    <xf numFmtId="0" fontId="4" fillId="11" borderId="1" applyAlignment="1" pivotButton="0" quotePrefix="0" xfId="0">
      <alignment horizontal="left" vertical="top"/>
    </xf>
    <xf numFmtId="0" fontId="16" fillId="11" borderId="1" applyAlignment="1" pivotButton="0" quotePrefix="0" xfId="0">
      <alignment horizontal="left" vertical="top"/>
    </xf>
    <xf numFmtId="0" fontId="13" fillId="11" borderId="1" applyAlignment="1" pivotButton="0" quotePrefix="0" xfId="0">
      <alignment horizontal="center" vertical="top"/>
    </xf>
    <xf numFmtId="0" fontId="14" fillId="11" borderId="1" applyAlignment="1" pivotButton="0" quotePrefix="0" xfId="0">
      <alignment horizontal="left" vertical="top" wrapText="1"/>
    </xf>
    <xf numFmtId="0" fontId="15" fillId="11" borderId="1" applyAlignment="1" pivotButton="0" quotePrefix="0" xfId="0">
      <alignment horizontal="left" vertical="top" wrapText="1"/>
    </xf>
    <xf numFmtId="0" fontId="10" fillId="12" borderId="0" applyAlignment="1" pivotButton="0" quotePrefix="0" xfId="0">
      <alignment horizontal="center" vertical="top"/>
    </xf>
    <xf numFmtId="0" fontId="3" fillId="12" borderId="1" applyAlignment="1" pivotButton="0" quotePrefix="0" xfId="0">
      <alignment horizontal="center" vertical="top"/>
    </xf>
    <xf numFmtId="0" fontId="17" fillId="5" borderId="1" applyAlignment="1" pivotButton="0" quotePrefix="0" xfId="0">
      <alignment horizontal="left" vertical="top"/>
    </xf>
    <xf numFmtId="0" fontId="4" fillId="13" borderId="1" applyAlignment="1" pivotButton="0" quotePrefix="0" xfId="0">
      <alignment horizontal="left" vertical="top"/>
    </xf>
    <xf numFmtId="0" fontId="17" fillId="13" borderId="1" applyAlignment="1" pivotButton="0" quotePrefix="0" xfId="0">
      <alignment horizontal="left" vertical="top"/>
    </xf>
    <xf numFmtId="0" fontId="13" fillId="13" borderId="1" applyAlignment="1" pivotButton="0" quotePrefix="0" xfId="0">
      <alignment horizontal="center" vertical="top"/>
    </xf>
    <xf numFmtId="0" fontId="14" fillId="13" borderId="1" applyAlignment="1" pivotButton="0" quotePrefix="0" xfId="0">
      <alignment horizontal="left" vertical="top" wrapText="1"/>
    </xf>
    <xf numFmtId="0" fontId="15" fillId="13" borderId="1" applyAlignment="1" pivotButton="0" quotePrefix="0" xfId="0">
      <alignment horizontal="left" vertical="top" wrapText="1"/>
    </xf>
    <xf numFmtId="0" fontId="10" fillId="14" borderId="0" applyAlignment="1" pivotButton="0" quotePrefix="0" xfId="0">
      <alignment horizontal="center" vertical="top"/>
    </xf>
    <xf numFmtId="0" fontId="3" fillId="14" borderId="1" applyAlignment="1" pivotButton="0" quotePrefix="0" xfId="0">
      <alignment horizontal="center" vertical="top"/>
    </xf>
    <xf numFmtId="0" fontId="18" fillId="5" borderId="1" applyAlignment="1" pivotButton="0" quotePrefix="0" xfId="0">
      <alignment horizontal="left" vertical="top"/>
    </xf>
    <xf numFmtId="0" fontId="4" fillId="15" borderId="1" applyAlignment="1" pivotButton="0" quotePrefix="0" xfId="0">
      <alignment horizontal="left" vertical="top"/>
    </xf>
    <xf numFmtId="0" fontId="18" fillId="15" borderId="1" applyAlignment="1" pivotButton="0" quotePrefix="0" xfId="0">
      <alignment horizontal="left" vertical="top"/>
    </xf>
    <xf numFmtId="0" fontId="13" fillId="15" borderId="1" applyAlignment="1" pivotButton="0" quotePrefix="0" xfId="0">
      <alignment horizontal="center" vertical="top"/>
    </xf>
    <xf numFmtId="0" fontId="14" fillId="15" borderId="1" applyAlignment="1" pivotButton="0" quotePrefix="0" xfId="0">
      <alignment horizontal="left" vertical="top" wrapText="1"/>
    </xf>
    <xf numFmtId="0" fontId="15" fillId="15" borderId="1" applyAlignment="1" pivotButton="0" quotePrefix="0" xfId="0">
      <alignment horizontal="left" vertical="top" wrapText="1"/>
    </xf>
    <xf numFmtId="0" fontId="10" fillId="16" borderId="0" applyAlignment="1" pivotButton="0" quotePrefix="0" xfId="0">
      <alignment horizontal="center" vertical="top"/>
    </xf>
    <xf numFmtId="0" fontId="3" fillId="16" borderId="1" applyAlignment="1" pivotButton="0" quotePrefix="0" xfId="0">
      <alignment horizontal="center" vertical="top"/>
    </xf>
    <xf numFmtId="0" fontId="19" fillId="5" borderId="1" applyAlignment="1" pivotButton="0" quotePrefix="0" xfId="0">
      <alignment horizontal="left" vertical="top"/>
    </xf>
    <xf numFmtId="0" fontId="4" fillId="17" borderId="1" applyAlignment="1" pivotButton="0" quotePrefix="0" xfId="0">
      <alignment horizontal="left" vertical="top"/>
    </xf>
    <xf numFmtId="0" fontId="19" fillId="17" borderId="1" applyAlignment="1" pivotButton="0" quotePrefix="0" xfId="0">
      <alignment horizontal="left" vertical="top"/>
    </xf>
    <xf numFmtId="0" fontId="13" fillId="17" borderId="1" applyAlignment="1" pivotButton="0" quotePrefix="0" xfId="0">
      <alignment horizontal="center" vertical="top"/>
    </xf>
    <xf numFmtId="0" fontId="14" fillId="17" borderId="1" applyAlignment="1" pivotButton="0" quotePrefix="0" xfId="0">
      <alignment horizontal="left" vertical="top" wrapText="1"/>
    </xf>
    <xf numFmtId="0" fontId="15" fillId="1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40" customWidth="1" min="4" max="4"/>
    <col width="14" customWidth="1" min="5" max="5"/>
    <col width="16" customWidth="1" min="6" max="6"/>
    <col width="28" customWidth="1" min="7" max="7"/>
  </cols>
  <sheetData>
    <row r="1" ht="32" customHeight="1">
      <c r="A1" s="1" t="inlineStr">
        <is>
          <t>IntelliSource — KPI Reference Sheet</t>
        </is>
      </c>
    </row>
    <row r="2" ht="14" customHeight="1">
      <c r="A2" s="2" t="inlineStr">
        <is>
          <t>All KPIs, SQL Queries &amp; Formulas — extracted from backend/services/kpi_engine.py  |  5 Dashboards</t>
        </is>
      </c>
    </row>
    <row r="3">
      <c r="A3" t="inlineStr"/>
    </row>
    <row r="4" ht="16" customHeight="1">
      <c r="A4" s="3" t="inlineStr">
        <is>
          <t>#</t>
        </is>
      </c>
      <c r="B4" s="3" t="inlineStr">
        <is>
          <t>Dashboard</t>
        </is>
      </c>
      <c r="C4" s="3" t="inlineStr">
        <is>
          <t>KPI Code</t>
        </is>
      </c>
      <c r="D4" s="3" t="inlineStr">
        <is>
          <t>KPI Name</t>
        </is>
      </c>
      <c r="E4" s="3" t="inlineStr">
        <is>
          <t>Unit</t>
        </is>
      </c>
      <c r="F4" s="3" t="inlineStr">
        <is>
          <t>Sheet</t>
        </is>
      </c>
      <c r="G4" s="3" t="inlineStr">
        <is>
          <t>Source Function</t>
        </is>
      </c>
    </row>
    <row r="5">
      <c r="A5" s="4" t="n">
        <v>1</v>
      </c>
      <c r="B5" s="5" t="inlineStr">
        <is>
          <t>PROCUREMENT</t>
        </is>
      </c>
      <c r="C5" s="4" t="inlineStr">
        <is>
          <t>TOTAL_PO_VALUE_MTD</t>
        </is>
      </c>
      <c r="D5" s="4" t="inlineStr">
        <is>
          <t>Total PO Value (MTD)</t>
        </is>
      </c>
      <c r="E5" s="4" t="inlineStr">
        <is>
          <t>INR</t>
        </is>
      </c>
      <c r="F5" s="4" t="inlineStr">
        <is>
          <t>Procurement</t>
        </is>
      </c>
      <c r="G5" s="4" t="inlineStr">
        <is>
          <t>_kpi_engine._procurement()</t>
        </is>
      </c>
    </row>
    <row r="6">
      <c r="A6" s="6" t="n">
        <v>2</v>
      </c>
      <c r="B6" s="7" t="inlineStr">
        <is>
          <t>PROCUREMENT</t>
        </is>
      </c>
      <c r="C6" s="6" t="inlineStr">
        <is>
          <t>TOTAL_PO_VALUE_YTD</t>
        </is>
      </c>
      <c r="D6" s="6" t="inlineStr">
        <is>
          <t>Total PO Value (YTD)</t>
        </is>
      </c>
      <c r="E6" s="6" t="inlineStr">
        <is>
          <t>INR</t>
        </is>
      </c>
      <c r="F6" s="6" t="inlineStr">
        <is>
          <t>Procurement</t>
        </is>
      </c>
      <c r="G6" s="6" t="inlineStr">
        <is>
          <t>_kpi_engine._procurement()</t>
        </is>
      </c>
    </row>
    <row r="7">
      <c r="A7" s="4" t="n">
        <v>3</v>
      </c>
      <c r="B7" s="5" t="inlineStr">
        <is>
          <t>PROCUREMENT</t>
        </is>
      </c>
      <c r="C7" s="4" t="inlineStr">
        <is>
          <t>PO_LINE_COUNT_YTD</t>
        </is>
      </c>
      <c r="D7" s="4" t="inlineStr">
        <is>
          <t>PO Line Count (YTD)</t>
        </is>
      </c>
      <c r="E7" s="4" t="inlineStr">
        <is>
          <t>count</t>
        </is>
      </c>
      <c r="F7" s="4" t="inlineStr">
        <is>
          <t>Procurement</t>
        </is>
      </c>
      <c r="G7" s="4" t="inlineStr">
        <is>
          <t>_kpi_engine._procurement()</t>
        </is>
      </c>
    </row>
    <row r="8">
      <c r="A8" s="6" t="n">
        <v>4</v>
      </c>
      <c r="B8" s="7" t="inlineStr">
        <is>
          <t>PROCUREMENT</t>
        </is>
      </c>
      <c r="C8" s="6" t="inlineStr">
        <is>
          <t>ACTIVE_PO_COUNT</t>
        </is>
      </c>
      <c r="D8" s="6" t="inlineStr">
        <is>
          <t>Active PO Count</t>
        </is>
      </c>
      <c r="E8" s="6" t="inlineStr">
        <is>
          <t>count</t>
        </is>
      </c>
      <c r="F8" s="6" t="inlineStr">
        <is>
          <t>Procurement</t>
        </is>
      </c>
      <c r="G8" s="6" t="inlineStr">
        <is>
          <t>_kpi_engine._procurement()</t>
        </is>
      </c>
    </row>
    <row r="9">
      <c r="A9" s="4" t="n">
        <v>5</v>
      </c>
      <c r="B9" s="5" t="inlineStr">
        <is>
          <t>PROCUREMENT</t>
        </is>
      </c>
      <c r="C9" s="4" t="inlineStr">
        <is>
          <t>PO_COUNT_MTD</t>
        </is>
      </c>
      <c r="D9" s="4" t="inlineStr">
        <is>
          <t>PO Count (MTD)</t>
        </is>
      </c>
      <c r="E9" s="4" t="inlineStr">
        <is>
          <t>count</t>
        </is>
      </c>
      <c r="F9" s="4" t="inlineStr">
        <is>
          <t>Procurement</t>
        </is>
      </c>
      <c r="G9" s="4" t="inlineStr">
        <is>
          <t>_kpi_engine._procurement()</t>
        </is>
      </c>
    </row>
    <row r="10">
      <c r="A10" s="6" t="n">
        <v>6</v>
      </c>
      <c r="B10" s="7" t="inlineStr">
        <is>
          <t>PROCUREMENT</t>
        </is>
      </c>
      <c r="C10" s="6" t="inlineStr">
        <is>
          <t>AVG_PO_VALUE</t>
        </is>
      </c>
      <c r="D10" s="6" t="inlineStr">
        <is>
          <t>Average PO Value (MTD)</t>
        </is>
      </c>
      <c r="E10" s="6" t="inlineStr">
        <is>
          <t>INR</t>
        </is>
      </c>
      <c r="F10" s="6" t="inlineStr">
        <is>
          <t>Procurement</t>
        </is>
      </c>
      <c r="G10" s="6" t="inlineStr">
        <is>
          <t>_kpi_engine._procurement()</t>
        </is>
      </c>
    </row>
    <row r="11">
      <c r="A11" s="4" t="n">
        <v>7</v>
      </c>
      <c r="B11" s="5" t="inlineStr">
        <is>
          <t>PROCUREMENT</t>
        </is>
      </c>
      <c r="C11" s="4" t="inlineStr">
        <is>
          <t>HIGH_VALUE_PO_COUNT</t>
        </is>
      </c>
      <c r="D11" s="4" t="inlineStr">
        <is>
          <t>High-Value PO Count</t>
        </is>
      </c>
      <c r="E11" s="4" t="inlineStr">
        <is>
          <t>&gt;threshold INR</t>
        </is>
      </c>
      <c r="F11" s="4" t="inlineStr">
        <is>
          <t>Procurement</t>
        </is>
      </c>
      <c r="G11" s="4" t="inlineStr">
        <is>
          <t>_kpi_engine._procurement()</t>
        </is>
      </c>
    </row>
    <row r="12">
      <c r="A12" s="6" t="n">
        <v>8</v>
      </c>
      <c r="B12" s="7" t="inlineStr">
        <is>
          <t>PROCUREMENT</t>
        </is>
      </c>
      <c r="C12" s="6" t="inlineStr">
        <is>
          <t>HIGH_VALUE_PO_RATE</t>
        </is>
      </c>
      <c r="D12" s="6" t="inlineStr">
        <is>
          <t>High-Value PO Rate (%)</t>
        </is>
      </c>
      <c r="E12" s="6" t="inlineStr">
        <is>
          <t>%%</t>
        </is>
      </c>
      <c r="F12" s="6" t="inlineStr">
        <is>
          <t>Procurement</t>
        </is>
      </c>
      <c r="G12" s="6" t="inlineStr">
        <is>
          <t>_kpi_engine._procurement()</t>
        </is>
      </c>
    </row>
    <row r="13">
      <c r="A13" s="4" t="n">
        <v>9</v>
      </c>
      <c r="B13" s="5" t="inlineStr">
        <is>
          <t>PROCUREMENT</t>
        </is>
      </c>
      <c r="C13" s="4" t="inlineStr">
        <is>
          <t>PR_TO_PO_DAYS</t>
        </is>
      </c>
      <c r="D13" s="4" t="inlineStr">
        <is>
          <t>Avg PR-to-PO Time</t>
        </is>
      </c>
      <c r="E13" s="4" t="inlineStr">
        <is>
          <t>days</t>
        </is>
      </c>
      <c r="F13" s="4" t="inlineStr">
        <is>
          <t>Procurement</t>
        </is>
      </c>
      <c r="G13" s="4" t="inlineStr">
        <is>
          <t>_kpi_engine._procurement()</t>
        </is>
      </c>
    </row>
    <row r="14">
      <c r="A14" s="6" t="n">
        <v>10</v>
      </c>
      <c r="B14" s="7" t="inlineStr">
        <is>
          <t>PROCUREMENT</t>
        </is>
      </c>
      <c r="C14" s="6" t="inlineStr">
        <is>
          <t>PO_APPROVAL_CYCLE</t>
        </is>
      </c>
      <c r="D14" s="6" t="inlineStr">
        <is>
          <t>PO Approval Cycle</t>
        </is>
      </c>
      <c r="E14" s="6" t="inlineStr">
        <is>
          <t>days</t>
        </is>
      </c>
      <c r="F14" s="6" t="inlineStr">
        <is>
          <t>Procurement</t>
        </is>
      </c>
      <c r="G14" s="6" t="inlineStr">
        <is>
          <t>_kpi_engine._procurement()</t>
        </is>
      </c>
    </row>
    <row r="15">
      <c r="A15" s="4" t="n">
        <v>11</v>
      </c>
      <c r="B15" s="5" t="inlineStr">
        <is>
          <t>PROCUREMENT</t>
        </is>
      </c>
      <c r="C15" s="4" t="inlineStr">
        <is>
          <t>PO_DELETION_MTD</t>
        </is>
      </c>
      <c r="D15" s="4" t="inlineStr">
        <is>
          <t>PO Deleted Line Items (MTD)</t>
        </is>
      </c>
      <c r="E15" s="4" t="inlineStr">
        <is>
          <t>count</t>
        </is>
      </c>
      <c r="F15" s="4" t="inlineStr">
        <is>
          <t>Procurement</t>
        </is>
      </c>
      <c r="G15" s="4" t="inlineStr">
        <is>
          <t>_kpi_engine._procurement()</t>
        </is>
      </c>
    </row>
    <row r="16">
      <c r="A16" s="6" t="n">
        <v>12</v>
      </c>
      <c r="B16" s="7" t="inlineStr">
        <is>
          <t>PROCUREMENT</t>
        </is>
      </c>
      <c r="C16" s="6" t="inlineStr">
        <is>
          <t>PO_AMENDMENT_RATE</t>
        </is>
      </c>
      <c r="D16" s="6" t="inlineStr">
        <is>
          <t>PO Amendment Rate</t>
        </is>
      </c>
      <c r="E16" s="6" t="inlineStr">
        <is>
          <t>%%</t>
        </is>
      </c>
      <c r="F16" s="6" t="inlineStr">
        <is>
          <t>Procurement</t>
        </is>
      </c>
      <c r="G16" s="6" t="inlineStr">
        <is>
          <t>_kpi_engine._procurement()</t>
        </is>
      </c>
    </row>
    <row r="17">
      <c r="A17" s="4" t="n">
        <v>13</v>
      </c>
      <c r="B17" s="5" t="inlineStr">
        <is>
          <t>PROCUREMENT</t>
        </is>
      </c>
      <c r="C17" s="4" t="inlineStr">
        <is>
          <t>OPEN_PO_AGING</t>
        </is>
      </c>
      <c r="D17" s="4" t="inlineStr">
        <is>
          <t>Open PO Line Items (Overdue)</t>
        </is>
      </c>
      <c r="E17" s="4" t="inlineStr">
        <is>
          <t>count</t>
        </is>
      </c>
      <c r="F17" s="4" t="inlineStr">
        <is>
          <t>Procurement</t>
        </is>
      </c>
      <c r="G17" s="4" t="inlineStr">
        <is>
          <t>_kpi_engine._procurement()</t>
        </is>
      </c>
    </row>
    <row r="18">
      <c r="A18" s="6" t="n">
        <v>14</v>
      </c>
      <c r="B18" s="7" t="inlineStr">
        <is>
          <t>PROCUREMENT</t>
        </is>
      </c>
      <c r="C18" s="6" t="inlineStr">
        <is>
          <t>OPEN_PR_AGING</t>
        </is>
      </c>
      <c r="D18" s="6" t="inlineStr">
        <is>
          <t>Open PR Lines &gt; 7 Days</t>
        </is>
      </c>
      <c r="E18" s="6" t="inlineStr">
        <is>
          <t>count</t>
        </is>
      </c>
      <c r="F18" s="6" t="inlineStr">
        <is>
          <t>Procurement</t>
        </is>
      </c>
      <c r="G18" s="6" t="inlineStr">
        <is>
          <t>_kpi_engine._procurement()</t>
        </is>
      </c>
    </row>
    <row r="19">
      <c r="A19" s="4" t="n">
        <v>15</v>
      </c>
      <c r="B19" s="5" t="inlineStr">
        <is>
          <t>PROCUREMENT</t>
        </is>
      </c>
      <c r="C19" s="4" t="inlineStr">
        <is>
          <t>MAVERICK_SPEND_RATE</t>
        </is>
      </c>
      <c r="D19" s="4" t="inlineStr">
        <is>
          <t>Maverick Spend Rate</t>
        </is>
      </c>
      <c r="E19" s="4" t="inlineStr">
        <is>
          <t>%%</t>
        </is>
      </c>
      <c r="F19" s="4" t="inlineStr">
        <is>
          <t>Procurement</t>
        </is>
      </c>
      <c r="G19" s="4" t="inlineStr">
        <is>
          <t>_kpi_engine._procurement()</t>
        </is>
      </c>
    </row>
    <row r="20">
      <c r="A20" s="6" t="n">
        <v>16</v>
      </c>
      <c r="B20" s="7" t="inlineStr">
        <is>
          <t>PROCUREMENT</t>
        </is>
      </c>
      <c r="C20" s="6" t="inlineStr">
        <is>
          <t>APPROVED_PR_TOTAL</t>
        </is>
      </c>
      <c r="D20" s="6" t="inlineStr">
        <is>
          <t>Total Active PRs</t>
        </is>
      </c>
      <c r="E20" s="6" t="inlineStr">
        <is>
          <t>count</t>
        </is>
      </c>
      <c r="F20" s="6" t="inlineStr">
        <is>
          <t>Procurement</t>
        </is>
      </c>
      <c r="G20" s="6" t="inlineStr">
        <is>
          <t>_kpi_engine._procurement()</t>
        </is>
      </c>
    </row>
    <row r="21">
      <c r="A21" s="4" t="n">
        <v>17</v>
      </c>
      <c r="B21" s="5" t="inlineStr">
        <is>
          <t>PROCUREMENT</t>
        </is>
      </c>
      <c r="C21" s="4" t="inlineStr">
        <is>
          <t>APPROVED_PR_APPROVED</t>
        </is>
      </c>
      <c r="D21" s="4" t="inlineStr">
        <is>
          <t>Approved PRs</t>
        </is>
      </c>
      <c r="E21" s="4" t="inlineStr">
        <is>
          <t>count</t>
        </is>
      </c>
      <c r="F21" s="4" t="inlineStr">
        <is>
          <t>Procurement</t>
        </is>
      </c>
      <c r="G21" s="4" t="inlineStr">
        <is>
          <t>_kpi_engine._procurement()</t>
        </is>
      </c>
    </row>
    <row r="22">
      <c r="A22" s="6" t="n">
        <v>18</v>
      </c>
      <c r="B22" s="7" t="inlineStr">
        <is>
          <t>PROCUREMENT</t>
        </is>
      </c>
      <c r="C22" s="6" t="inlineStr">
        <is>
          <t>APPROVED_PO_TOTAL</t>
        </is>
      </c>
      <c r="D22" s="6" t="inlineStr">
        <is>
          <t>Total Active POs</t>
        </is>
      </c>
      <c r="E22" s="6" t="inlineStr">
        <is>
          <t>count</t>
        </is>
      </c>
      <c r="F22" s="6" t="inlineStr">
        <is>
          <t>Procurement</t>
        </is>
      </c>
      <c r="G22" s="6" t="inlineStr">
        <is>
          <t>_kpi_engine._procurement()</t>
        </is>
      </c>
    </row>
    <row r="23">
      <c r="A23" s="4" t="n">
        <v>19</v>
      </c>
      <c r="B23" s="5" t="inlineStr">
        <is>
          <t>PROCUREMENT</t>
        </is>
      </c>
      <c r="C23" s="4" t="inlineStr">
        <is>
          <t>APPROVED_PO_APPROVED</t>
        </is>
      </c>
      <c r="D23" s="4" t="inlineStr">
        <is>
          <t>Approved POs</t>
        </is>
      </c>
      <c r="E23" s="4" t="inlineStr">
        <is>
          <t>count</t>
        </is>
      </c>
      <c r="F23" s="4" t="inlineStr">
        <is>
          <t>Procurement</t>
        </is>
      </c>
      <c r="G23" s="4" t="inlineStr">
        <is>
          <t>_kpi_engine._procurement()</t>
        </is>
      </c>
    </row>
    <row r="24">
      <c r="A24" s="6" t="n">
        <v>20</v>
      </c>
      <c r="B24" s="7" t="inlineStr">
        <is>
          <t>PROCUREMENT</t>
        </is>
      </c>
      <c r="C24" s="6" t="inlineStr">
        <is>
          <t>ACTIVE_VENDOR_COUNT_MTD</t>
        </is>
      </c>
      <c r="D24" s="6" t="inlineStr">
        <is>
          <t>Active Vendors (YTD)</t>
        </is>
      </c>
      <c r="E24" s="6" t="inlineStr">
        <is>
          <t>count</t>
        </is>
      </c>
      <c r="F24" s="6" t="inlineStr">
        <is>
          <t>Procurement</t>
        </is>
      </c>
      <c r="G24" s="6" t="inlineStr">
        <is>
          <t>_kpi_engine._procurement()</t>
        </is>
      </c>
    </row>
    <row r="25">
      <c r="A25" s="4" t="n">
        <v>21</v>
      </c>
      <c r="B25" s="8" t="inlineStr">
        <is>
          <t>FINANCIAL</t>
        </is>
      </c>
      <c r="C25" s="4" t="inlineStr">
        <is>
          <t>TOTAL_SPEND_YTD</t>
        </is>
      </c>
      <c r="D25" s="4" t="inlineStr">
        <is>
          <t>Total Spend YTD (Invoices)</t>
        </is>
      </c>
      <c r="E25" s="4" t="inlineStr">
        <is>
          <t>INR</t>
        </is>
      </c>
      <c r="F25" s="4" t="inlineStr">
        <is>
          <t>Financial</t>
        </is>
      </c>
      <c r="G25" s="4" t="inlineStr">
        <is>
          <t>_kpi_engine._financial()</t>
        </is>
      </c>
    </row>
    <row r="26">
      <c r="A26" s="6" t="n">
        <v>22</v>
      </c>
      <c r="B26" s="9" t="inlineStr">
        <is>
          <t>FINANCIAL</t>
        </is>
      </c>
      <c r="C26" s="6" t="inlineStr">
        <is>
          <t>INVOICE_CANCELLATION_RATE</t>
        </is>
      </c>
      <c r="D26" s="6" t="inlineStr">
        <is>
          <t>Invoice Cancellation Rate</t>
        </is>
      </c>
      <c r="E26" s="6" t="inlineStr">
        <is>
          <t>%%</t>
        </is>
      </c>
      <c r="F26" s="6" t="inlineStr">
        <is>
          <t>Financial</t>
        </is>
      </c>
      <c r="G26" s="6" t="inlineStr">
        <is>
          <t>_kpi_engine._financial()</t>
        </is>
      </c>
    </row>
    <row r="27">
      <c r="A27" s="4" t="n">
        <v>23</v>
      </c>
      <c r="B27" s="8" t="inlineStr">
        <is>
          <t>FINANCIAL</t>
        </is>
      </c>
      <c r="C27" s="4" t="inlineStr">
        <is>
          <t>THREE_WAY_MATCH_RATE</t>
        </is>
      </c>
      <c r="D27" s="4" t="inlineStr">
        <is>
          <t>3-Way Match Success Rate</t>
        </is>
      </c>
      <c r="E27" s="4" t="inlineStr">
        <is>
          <t>%%</t>
        </is>
      </c>
      <c r="F27" s="4" t="inlineStr">
        <is>
          <t>Financial</t>
        </is>
      </c>
      <c r="G27" s="4" t="inlineStr">
        <is>
          <t>_kpi_engine._financial()</t>
        </is>
      </c>
    </row>
    <row r="28">
      <c r="A28" s="6" t="n">
        <v>24</v>
      </c>
      <c r="B28" s="9" t="inlineStr">
        <is>
          <t>FINANCIAL</t>
        </is>
      </c>
      <c r="C28" s="6" t="inlineStr">
        <is>
          <t>INVOICE_PROCESSING_DAYS</t>
        </is>
      </c>
      <c r="D28" s="6" t="inlineStr">
        <is>
          <t>Invoice Processing Time</t>
        </is>
      </c>
      <c r="E28" s="6" t="inlineStr">
        <is>
          <t>days</t>
        </is>
      </c>
      <c r="F28" s="6" t="inlineStr">
        <is>
          <t>Financial</t>
        </is>
      </c>
      <c r="G28" s="6" t="inlineStr">
        <is>
          <t>_kpi_engine._financial()</t>
        </is>
      </c>
    </row>
    <row r="29">
      <c r="A29" s="4" t="n">
        <v>25</v>
      </c>
      <c r="B29" s="8" t="inlineStr">
        <is>
          <t>FINANCIAL</t>
        </is>
      </c>
      <c r="C29" s="4" t="inlineStr">
        <is>
          <t>ON_TIME_PAYMENT_RATE</t>
        </is>
      </c>
      <c r="D29" s="4" t="inlineStr">
        <is>
          <t>On-Time Payment Rate</t>
        </is>
      </c>
      <c r="E29" s="4" t="inlineStr">
        <is>
          <t>%%</t>
        </is>
      </c>
      <c r="F29" s="4" t="inlineStr">
        <is>
          <t>Financial</t>
        </is>
      </c>
      <c r="G29" s="4" t="inlineStr">
        <is>
          <t>_kpi_engine._financial()</t>
        </is>
      </c>
    </row>
    <row r="30">
      <c r="A30" s="6" t="n">
        <v>26</v>
      </c>
      <c r="B30" s="9" t="inlineStr">
        <is>
          <t>FINANCIAL</t>
        </is>
      </c>
      <c r="C30" s="6" t="inlineStr">
        <is>
          <t>OPEN_INVOICE_VALUE</t>
        </is>
      </c>
      <c r="D30" s="6" t="inlineStr">
        <is>
          <t>Open Invoice Aging</t>
        </is>
      </c>
      <c r="E30" s="6" t="inlineStr">
        <is>
          <t>INR by bucket</t>
        </is>
      </c>
      <c r="F30" s="6" t="inlineStr">
        <is>
          <t>Financial</t>
        </is>
      </c>
      <c r="G30" s="6" t="inlineStr">
        <is>
          <t>_kpi_engine._financial()</t>
        </is>
      </c>
    </row>
    <row r="31">
      <c r="A31" s="4" t="n">
        <v>27</v>
      </c>
      <c r="B31" s="8" t="inlineStr">
        <is>
          <t>FINANCIAL</t>
        </is>
      </c>
      <c r="C31" s="4" t="inlineStr">
        <is>
          <t>PAYMENT_TIMING_SUMMARY</t>
        </is>
      </c>
      <c r="D31" s="4" t="inlineStr">
        <is>
          <t>Payment Timing Summary</t>
        </is>
      </c>
      <c r="E31" s="4" t="inlineStr">
        <is>
          <t>count+days</t>
        </is>
      </c>
      <c r="F31" s="4" t="inlineStr">
        <is>
          <t>Financial</t>
        </is>
      </c>
      <c r="G31" s="4" t="inlineStr">
        <is>
          <t>_kpi_engine._financial()</t>
        </is>
      </c>
    </row>
    <row r="32">
      <c r="A32" s="6" t="n">
        <v>28</v>
      </c>
      <c r="B32" s="9" t="inlineStr">
        <is>
          <t>FINANCIAL</t>
        </is>
      </c>
      <c r="C32" s="6" t="inlineStr">
        <is>
          <t>TOTAL_PAYMENTS_YTD</t>
        </is>
      </c>
      <c r="D32" s="6" t="inlineStr">
        <is>
          <t>Total Payments (YTD)</t>
        </is>
      </c>
      <c r="E32" s="6" t="inlineStr">
        <is>
          <t>INR</t>
        </is>
      </c>
      <c r="F32" s="6" t="inlineStr">
        <is>
          <t>Financial</t>
        </is>
      </c>
      <c r="G32" s="6" t="inlineStr">
        <is>
          <t>_kpi_engine._financial()</t>
        </is>
      </c>
    </row>
    <row r="33">
      <c r="A33" s="4" t="n">
        <v>29</v>
      </c>
      <c r="B33" s="8" t="inlineStr">
        <is>
          <t>FINANCIAL</t>
        </is>
      </c>
      <c r="C33" s="4" t="inlineStr">
        <is>
          <t>PAYMENT_TO_PO_RATIO</t>
        </is>
      </c>
      <c r="D33" s="4" t="inlineStr">
        <is>
          <t>Payment-to-PO Ratio</t>
        </is>
      </c>
      <c r="E33" s="4" t="inlineStr">
        <is>
          <t>%%</t>
        </is>
      </c>
      <c r="F33" s="4" t="inlineStr">
        <is>
          <t>Financial</t>
        </is>
      </c>
      <c r="G33" s="4" t="inlineStr">
        <is>
          <t>_kpi_engine._financial()</t>
        </is>
      </c>
    </row>
    <row r="34">
      <c r="A34" s="6" t="n">
        <v>30</v>
      </c>
      <c r="B34" s="9" t="inlineStr">
        <is>
          <t>FINANCIAL</t>
        </is>
      </c>
      <c r="C34" s="6" t="inlineStr">
        <is>
          <t>APPROVED_PR_COUNT</t>
        </is>
      </c>
      <c r="D34" s="6" t="inlineStr">
        <is>
          <t>Approved PR Count (YTD)</t>
        </is>
      </c>
      <c r="E34" s="6" t="inlineStr">
        <is>
          <t>count</t>
        </is>
      </c>
      <c r="F34" s="6" t="inlineStr">
        <is>
          <t>Financial</t>
        </is>
      </c>
      <c r="G34" s="6" t="inlineStr">
        <is>
          <t>_kpi_engine._financial()</t>
        </is>
      </c>
    </row>
    <row r="35">
      <c r="A35" s="4" t="n">
        <v>31</v>
      </c>
      <c r="B35" s="10" t="inlineStr">
        <is>
          <t>LEADERSHIP</t>
        </is>
      </c>
      <c r="C35" s="4" t="inlineStr">
        <is>
          <t>TOTAL_SPEND_YTD</t>
        </is>
      </c>
      <c r="D35" s="4" t="inlineStr">
        <is>
          <t>Total Procurement Value (YTD)</t>
        </is>
      </c>
      <c r="E35" s="4" t="inlineStr">
        <is>
          <t>INR</t>
        </is>
      </c>
      <c r="F35" s="4" t="inlineStr">
        <is>
          <t>Leadership</t>
        </is>
      </c>
      <c r="G35" s="4" t="inlineStr">
        <is>
          <t>_kpi_engine._leadership()</t>
        </is>
      </c>
    </row>
    <row r="36">
      <c r="A36" s="6" t="n">
        <v>32</v>
      </c>
      <c r="B36" s="11" t="inlineStr">
        <is>
          <t>LEADERSHIP</t>
        </is>
      </c>
      <c r="C36" s="6" t="inlineStr">
        <is>
          <t>TOTAL_PO_COUNT_YTD</t>
        </is>
      </c>
      <c r="D36" s="6" t="inlineStr">
        <is>
          <t>Total PO Count (YTD)</t>
        </is>
      </c>
      <c r="E36" s="6" t="inlineStr">
        <is>
          <t>count</t>
        </is>
      </c>
      <c r="F36" s="6" t="inlineStr">
        <is>
          <t>Leadership</t>
        </is>
      </c>
      <c r="G36" s="6" t="inlineStr">
        <is>
          <t>_kpi_engine._leadership()</t>
        </is>
      </c>
    </row>
    <row r="37">
      <c r="A37" s="4" t="n">
        <v>33</v>
      </c>
      <c r="B37" s="10" t="inlineStr">
        <is>
          <t>LEADERSHIP</t>
        </is>
      </c>
      <c r="C37" s="4" t="inlineStr">
        <is>
          <t>GRN_COUNT_YTD</t>
        </is>
      </c>
      <c r="D37" s="4" t="inlineStr">
        <is>
          <t>GRN Count (YTD)</t>
        </is>
      </c>
      <c r="E37" s="4" t="inlineStr">
        <is>
          <t>count</t>
        </is>
      </c>
      <c r="F37" s="4" t="inlineStr">
        <is>
          <t>Leadership</t>
        </is>
      </c>
      <c r="G37" s="4" t="inlineStr">
        <is>
          <t>_kpi_engine._leadership()</t>
        </is>
      </c>
    </row>
    <row r="38">
      <c r="A38" s="6" t="n">
        <v>34</v>
      </c>
      <c r="B38" s="11" t="inlineStr">
        <is>
          <t>LEADERSHIP</t>
        </is>
      </c>
      <c r="C38" s="6" t="inlineStr">
        <is>
          <t>GRN_VALUE_YTD</t>
        </is>
      </c>
      <c r="D38" s="6" t="inlineStr">
        <is>
          <t>GRN Value (YTD)</t>
        </is>
      </c>
      <c r="E38" s="6" t="inlineStr">
        <is>
          <t>INR</t>
        </is>
      </c>
      <c r="F38" s="6" t="inlineStr">
        <is>
          <t>Leadership</t>
        </is>
      </c>
      <c r="G38" s="6" t="inlineStr">
        <is>
          <t>_kpi_engine._leadership()</t>
        </is>
      </c>
    </row>
    <row r="39">
      <c r="A39" s="4" t="n">
        <v>35</v>
      </c>
      <c r="B39" s="10" t="inlineStr">
        <is>
          <t>LEADERSHIP</t>
        </is>
      </c>
      <c r="C39" s="4" t="inlineStr">
        <is>
          <t>INVOICE_COUNT_YTD</t>
        </is>
      </c>
      <c r="D39" s="4" t="inlineStr">
        <is>
          <t>Invoice Count (YTD)</t>
        </is>
      </c>
      <c r="E39" s="4" t="inlineStr">
        <is>
          <t>count</t>
        </is>
      </c>
      <c r="F39" s="4" t="inlineStr">
        <is>
          <t>Leadership</t>
        </is>
      </c>
      <c r="G39" s="4" t="inlineStr">
        <is>
          <t>_kpi_engine._leadership()</t>
        </is>
      </c>
    </row>
    <row r="40">
      <c r="A40" s="6" t="n">
        <v>36</v>
      </c>
      <c r="B40" s="11" t="inlineStr">
        <is>
          <t>LEADERSHIP</t>
        </is>
      </c>
      <c r="C40" s="6" t="inlineStr">
        <is>
          <t>INVOICE_VALUE_YTD</t>
        </is>
      </c>
      <c r="D40" s="6" t="inlineStr">
        <is>
          <t>Invoice Value (YTD)</t>
        </is>
      </c>
      <c r="E40" s="6" t="inlineStr">
        <is>
          <t>INR</t>
        </is>
      </c>
      <c r="F40" s="6" t="inlineStr">
        <is>
          <t>Leadership</t>
        </is>
      </c>
      <c r="G40" s="6" t="inlineStr">
        <is>
          <t>_kpi_engine._leadership()</t>
        </is>
      </c>
    </row>
    <row r="41">
      <c r="A41" s="4" t="n">
        <v>37</v>
      </c>
      <c r="B41" s="10" t="inlineStr">
        <is>
          <t>LEADERSHIP</t>
        </is>
      </c>
      <c r="C41" s="4" t="inlineStr">
        <is>
          <t>MAVERICK_BUY_RATE</t>
        </is>
      </c>
      <c r="D41" s="4" t="inlineStr">
        <is>
          <t>Maverick PO Rate</t>
        </is>
      </c>
      <c r="E41" s="4" t="inlineStr">
        <is>
          <t>%%</t>
        </is>
      </c>
      <c r="F41" s="4" t="inlineStr">
        <is>
          <t>Leadership</t>
        </is>
      </c>
      <c r="G41" s="4" t="inlineStr">
        <is>
          <t>_kpi_engine._leadership()</t>
        </is>
      </c>
    </row>
    <row r="42">
      <c r="A42" s="6" t="n">
        <v>38</v>
      </c>
      <c r="B42" s="11" t="inlineStr">
        <is>
          <t>LEADERSHIP</t>
        </is>
      </c>
      <c r="C42" s="6" t="inlineStr">
        <is>
          <t>E2E_CYCLE_TIME</t>
        </is>
      </c>
      <c r="D42" s="6" t="inlineStr">
        <is>
          <t>End-to-End P2P Cycle</t>
        </is>
      </c>
      <c r="E42" s="6" t="inlineStr">
        <is>
          <t>days</t>
        </is>
      </c>
      <c r="F42" s="6" t="inlineStr">
        <is>
          <t>Leadership</t>
        </is>
      </c>
      <c r="G42" s="6" t="inlineStr">
        <is>
          <t>_kpi_engine._leadership()</t>
        </is>
      </c>
    </row>
    <row r="43">
      <c r="A43" s="4" t="n">
        <v>39</v>
      </c>
      <c r="B43" s="10" t="inlineStr">
        <is>
          <t>LEADERSHIP</t>
        </is>
      </c>
      <c r="C43" s="4" t="inlineStr">
        <is>
          <t>VENDOR_CONCENTRATION</t>
        </is>
      </c>
      <c r="D43" s="4" t="inlineStr">
        <is>
          <t>Top-3 Vendor Spend Concentration</t>
        </is>
      </c>
      <c r="E43" s="4" t="inlineStr">
        <is>
          <t>%%</t>
        </is>
      </c>
      <c r="F43" s="4" t="inlineStr">
        <is>
          <t>Leadership</t>
        </is>
      </c>
      <c r="G43" s="4" t="inlineStr">
        <is>
          <t>_kpi_engine._leadership()</t>
        </is>
      </c>
    </row>
    <row r="44">
      <c r="A44" s="6" t="n">
        <v>40</v>
      </c>
      <c r="B44" s="11" t="inlineStr">
        <is>
          <t>LEADERSHIP</t>
        </is>
      </c>
      <c r="C44" s="6" t="inlineStr">
        <is>
          <t>SINGLE_SOURCE_COUNT</t>
        </is>
      </c>
      <c r="D44" s="6" t="inlineStr">
        <is>
          <t>Single Source Count/Value</t>
        </is>
      </c>
      <c r="E44" s="6" t="inlineStr">
        <is>
          <t>count+INR</t>
        </is>
      </c>
      <c r="F44" s="6" t="inlineStr">
        <is>
          <t>Leadership</t>
        </is>
      </c>
      <c r="G44" s="6" t="inlineStr">
        <is>
          <t>_kpi_engine._leadership()</t>
        </is>
      </c>
    </row>
    <row r="45">
      <c r="A45" s="4" t="n">
        <v>41</v>
      </c>
      <c r="B45" s="10" t="inlineStr">
        <is>
          <t>LEADERSHIP</t>
        </is>
      </c>
      <c r="C45" s="4" t="inlineStr">
        <is>
          <t>NEGOTIATION_SAVINGS</t>
        </is>
      </c>
      <c r="D45" s="4" t="inlineStr">
        <is>
          <t>Negotiation Savings YTD</t>
        </is>
      </c>
      <c r="E45" s="4" t="inlineStr">
        <is>
          <t>INR</t>
        </is>
      </c>
      <c r="F45" s="4" t="inlineStr">
        <is>
          <t>Leadership</t>
        </is>
      </c>
      <c r="G45" s="4" t="inlineStr">
        <is>
          <t>_kpi_engine._leadership()</t>
        </is>
      </c>
    </row>
    <row r="46">
      <c r="A46" s="6" t="n">
        <v>42</v>
      </c>
      <c r="B46" s="11" t="inlineStr">
        <is>
          <t>LEADERSHIP</t>
        </is>
      </c>
      <c r="C46" s="6" t="inlineStr">
        <is>
          <t>SUPPLY_RISK_SCORE</t>
        </is>
      </c>
      <c r="D46" s="6" t="inlineStr">
        <is>
          <t>Supply Chain Risk Score</t>
        </is>
      </c>
      <c r="E46" s="6" t="inlineStr">
        <is>
          <t>0-100</t>
        </is>
      </c>
      <c r="F46" s="6" t="inlineStr">
        <is>
          <t>Leadership</t>
        </is>
      </c>
      <c r="G46" s="6" t="inlineStr">
        <is>
          <t>_kpi_engine._leadership()</t>
        </is>
      </c>
    </row>
    <row r="47">
      <c r="A47" s="4" t="n">
        <v>43</v>
      </c>
      <c r="B47" s="10" t="inlineStr">
        <is>
          <t>LEADERSHIP</t>
        </is>
      </c>
      <c r="C47" s="4" t="inlineStr">
        <is>
          <t>SOD_PO_CREATE_RELEASE</t>
        </is>
      </c>
      <c r="D47" s="4" t="inlineStr">
        <is>
          <t>SOD: PO Create vs Release</t>
        </is>
      </c>
      <c r="E47" s="4" t="inlineStr">
        <is>
          <t>count</t>
        </is>
      </c>
      <c r="F47" s="4" t="inlineStr">
        <is>
          <t>Leadership</t>
        </is>
      </c>
      <c r="G47" s="4" t="inlineStr">
        <is>
          <t>_kpi_engine._leadership()</t>
        </is>
      </c>
    </row>
    <row r="48">
      <c r="A48" s="6" t="n">
        <v>44</v>
      </c>
      <c r="B48" s="11" t="inlineStr">
        <is>
          <t>LEADERSHIP</t>
        </is>
      </c>
      <c r="C48" s="6" t="inlineStr">
        <is>
          <t>SOD_PO_GRN</t>
        </is>
      </c>
      <c r="D48" s="6" t="inlineStr">
        <is>
          <t>SOD: PO Creation vs GRN</t>
        </is>
      </c>
      <c r="E48" s="6" t="inlineStr">
        <is>
          <t>count</t>
        </is>
      </c>
      <c r="F48" s="6" t="inlineStr">
        <is>
          <t>Leadership</t>
        </is>
      </c>
      <c r="G48" s="6" t="inlineStr">
        <is>
          <t>_kpi_engine._leadership()</t>
        </is>
      </c>
    </row>
    <row r="49">
      <c r="A49" s="4" t="n">
        <v>45</v>
      </c>
      <c r="B49" s="10" t="inlineStr">
        <is>
          <t>LEADERSHIP</t>
        </is>
      </c>
      <c r="C49" s="4" t="inlineStr">
        <is>
          <t>SOD_GRN_INVOICE</t>
        </is>
      </c>
      <c r="D49" s="4" t="inlineStr">
        <is>
          <t>SOD: GRN vs Invoice</t>
        </is>
      </c>
      <c r="E49" s="4" t="inlineStr">
        <is>
          <t>count</t>
        </is>
      </c>
      <c r="F49" s="4" t="inlineStr">
        <is>
          <t>Leadership</t>
        </is>
      </c>
      <c r="G49" s="4" t="inlineStr">
        <is>
          <t>_kpi_engine._leadership()</t>
        </is>
      </c>
    </row>
    <row r="50">
      <c r="A50" s="6" t="n">
        <v>46</v>
      </c>
      <c r="B50" s="11" t="inlineStr">
        <is>
          <t>LEADERSHIP</t>
        </is>
      </c>
      <c r="C50" s="6" t="inlineStr">
        <is>
          <t>SOD_INVOICE_PAYMENT</t>
        </is>
      </c>
      <c r="D50" s="6" t="inlineStr">
        <is>
          <t>SOD: Invoice vs Payment</t>
        </is>
      </c>
      <c r="E50" s="6" t="inlineStr">
        <is>
          <t>count</t>
        </is>
      </c>
      <c r="F50" s="6" t="inlineStr">
        <is>
          <t>Leadership</t>
        </is>
      </c>
      <c r="G50" s="6" t="inlineStr">
        <is>
          <t>_kpi_engine._leadership()</t>
        </is>
      </c>
    </row>
    <row r="51">
      <c r="A51" s="4" t="n">
        <v>47</v>
      </c>
      <c r="B51" s="10" t="inlineStr">
        <is>
          <t>LEADERSHIP</t>
        </is>
      </c>
      <c r="C51" s="4" t="inlineStr">
        <is>
          <t>SOD_CONFLICT_COUNT</t>
        </is>
      </c>
      <c r="D51" s="4" t="inlineStr">
        <is>
          <t>SOD Conflict Count (All)</t>
        </is>
      </c>
      <c r="E51" s="4" t="inlineStr">
        <is>
          <t>count</t>
        </is>
      </c>
      <c r="F51" s="4" t="inlineStr">
        <is>
          <t>Leadership</t>
        </is>
      </c>
      <c r="G51" s="4" t="inlineStr">
        <is>
          <t>_kpi_engine._leadership()</t>
        </is>
      </c>
    </row>
    <row r="52">
      <c r="A52" s="6" t="n">
        <v>48</v>
      </c>
      <c r="B52" s="11" t="inlineStr">
        <is>
          <t>LEADERSHIP</t>
        </is>
      </c>
      <c r="C52" s="6" t="inlineStr">
        <is>
          <t>PO_GRN_CONVERSION_RATE</t>
        </is>
      </c>
      <c r="D52" s="6" t="inlineStr">
        <is>
          <t>PO→GRN Conversion Rate</t>
        </is>
      </c>
      <c r="E52" s="6" t="inlineStr">
        <is>
          <t>%%</t>
        </is>
      </c>
      <c r="F52" s="6" t="inlineStr">
        <is>
          <t>Leadership</t>
        </is>
      </c>
      <c r="G52" s="6" t="inlineStr">
        <is>
          <t>_kpi_engine._leadership()</t>
        </is>
      </c>
    </row>
    <row r="53">
      <c r="A53" s="4" t="n">
        <v>49</v>
      </c>
      <c r="B53" s="10" t="inlineStr">
        <is>
          <t>LEADERSHIP</t>
        </is>
      </c>
      <c r="C53" s="4" t="inlineStr">
        <is>
          <t>DUPLICATE_INVOICE_COUNT</t>
        </is>
      </c>
      <c r="D53" s="4" t="inlineStr">
        <is>
          <t>Duplicate Invoice Count</t>
        </is>
      </c>
      <c r="E53" s="4" t="inlineStr">
        <is>
          <t>count</t>
        </is>
      </c>
      <c r="F53" s="4" t="inlineStr">
        <is>
          <t>Leadership</t>
        </is>
      </c>
      <c r="G53" s="4" t="inlineStr">
        <is>
          <t>_kpi_engine._leadership()</t>
        </is>
      </c>
    </row>
    <row r="54">
      <c r="A54" s="6" t="n">
        <v>50</v>
      </c>
      <c r="B54" s="11" t="inlineStr">
        <is>
          <t>LEADERSHIP</t>
        </is>
      </c>
      <c r="C54" s="6" t="inlineStr">
        <is>
          <t>DUPLICATE_PO_COUNT</t>
        </is>
      </c>
      <c r="D54" s="6" t="inlineStr">
        <is>
          <t>Duplicate PO Count</t>
        </is>
      </c>
      <c r="E54" s="6" t="inlineStr">
        <is>
          <t>count</t>
        </is>
      </c>
      <c r="F54" s="6" t="inlineStr">
        <is>
          <t>Leadership</t>
        </is>
      </c>
      <c r="G54" s="6" t="inlineStr">
        <is>
          <t>_kpi_engine._leadership()</t>
        </is>
      </c>
    </row>
    <row r="55">
      <c r="A55" s="4" t="n">
        <v>51</v>
      </c>
      <c r="B55" s="10" t="inlineStr">
        <is>
          <t>LEADERSHIP</t>
        </is>
      </c>
      <c r="C55" s="4" t="inlineStr">
        <is>
          <t>ONE_TIME_VENDOR_COUNT</t>
        </is>
      </c>
      <c r="D55" s="4" t="inlineStr">
        <is>
          <t>One-Time Vendor Count</t>
        </is>
      </c>
      <c r="E55" s="4" t="inlineStr">
        <is>
          <t>count</t>
        </is>
      </c>
      <c r="F55" s="4" t="inlineStr">
        <is>
          <t>Leadership</t>
        </is>
      </c>
      <c r="G55" s="4" t="inlineStr">
        <is>
          <t>_kpi_engine._leadership()</t>
        </is>
      </c>
    </row>
    <row r="56">
      <c r="A56" s="6" t="n">
        <v>52</v>
      </c>
      <c r="B56" s="11" t="inlineStr">
        <is>
          <t>LEADERSHIP</t>
        </is>
      </c>
      <c r="C56" s="6" t="inlineStr">
        <is>
          <t>PO_NO_CONTRACT_COUNT</t>
        </is>
      </c>
      <c r="D56" s="6" t="inlineStr">
        <is>
          <t>PO Lines without Contract</t>
        </is>
      </c>
      <c r="E56" s="6" t="inlineStr">
        <is>
          <t>count</t>
        </is>
      </c>
      <c r="F56" s="6" t="inlineStr">
        <is>
          <t>Leadership</t>
        </is>
      </c>
      <c r="G56" s="6" t="inlineStr">
        <is>
          <t>_kpi_engine._leadership()</t>
        </is>
      </c>
    </row>
    <row r="57">
      <c r="A57" s="4" t="n">
        <v>53</v>
      </c>
      <c r="B57" s="10" t="inlineStr">
        <is>
          <t>LEADERSHIP</t>
        </is>
      </c>
      <c r="C57" s="4" t="inlineStr">
        <is>
          <t>CAPEX_OPEX_SPLIT</t>
        </is>
      </c>
      <c r="D57" s="4" t="inlineStr">
        <is>
          <t>CAPEX vs OPEX Split</t>
        </is>
      </c>
      <c r="E57" s="4" t="inlineStr">
        <is>
          <t>INR/JSON</t>
        </is>
      </c>
      <c r="F57" s="4" t="inlineStr">
        <is>
          <t>Leadership</t>
        </is>
      </c>
      <c r="G57" s="4" t="inlineStr">
        <is>
          <t>_kpi_engine._leadership()</t>
        </is>
      </c>
    </row>
    <row r="58">
      <c r="A58" s="6" t="n">
        <v>54</v>
      </c>
      <c r="B58" s="12" t="inlineStr">
        <is>
          <t>VENDOR</t>
        </is>
      </c>
      <c r="C58" s="6" t="inlineStr">
        <is>
          <t>ACTIVE_VENDOR_COUNT</t>
        </is>
      </c>
      <c r="D58" s="6" t="inlineStr">
        <is>
          <t>Active Vendor Count</t>
        </is>
      </c>
      <c r="E58" s="6" t="inlineStr">
        <is>
          <t>count</t>
        </is>
      </c>
      <c r="F58" s="6" t="inlineStr">
        <is>
          <t>Vendor</t>
        </is>
      </c>
      <c r="G58" s="6" t="inlineStr">
        <is>
          <t>_kpi_engine._vendor()</t>
        </is>
      </c>
    </row>
    <row r="59">
      <c r="A59" s="4" t="n">
        <v>55</v>
      </c>
      <c r="B59" s="13" t="inlineStr">
        <is>
          <t>VENDOR</t>
        </is>
      </c>
      <c r="C59" s="4" t="inlineStr">
        <is>
          <t>VENDOR_BREAKDOWN</t>
        </is>
      </c>
      <c r="D59" s="4" t="inlineStr">
        <is>
          <t>Vendor Health Breakdown / Compliance Rate</t>
        </is>
      </c>
      <c r="E59" s="4" t="inlineStr">
        <is>
          <t>%%/JSON</t>
        </is>
      </c>
      <c r="F59" s="4" t="inlineStr">
        <is>
          <t>Vendor</t>
        </is>
      </c>
      <c r="G59" s="4" t="inlineStr">
        <is>
          <t>_kpi_engine._vendor()</t>
        </is>
      </c>
    </row>
    <row r="60">
      <c r="A60" s="6" t="n">
        <v>56</v>
      </c>
      <c r="B60" s="12" t="inlineStr">
        <is>
          <t>VENDOR</t>
        </is>
      </c>
      <c r="C60" s="6" t="inlineStr">
        <is>
          <t>VENDOR_DELIVERY_DAYS</t>
        </is>
      </c>
      <c r="D60" s="6" t="inlineStr">
        <is>
          <t>Vendor Delivery Lead Time</t>
        </is>
      </c>
      <c r="E60" s="6" t="inlineStr">
        <is>
          <t>days</t>
        </is>
      </c>
      <c r="F60" s="6" t="inlineStr">
        <is>
          <t>Vendor</t>
        </is>
      </c>
      <c r="G60" s="6" t="inlineStr">
        <is>
          <t>_kpi_engine._vendor()</t>
        </is>
      </c>
    </row>
    <row r="61">
      <c r="A61" s="4" t="n">
        <v>57</v>
      </c>
      <c r="B61" s="13" t="inlineStr">
        <is>
          <t>VENDOR</t>
        </is>
      </c>
      <c r="C61" s="4" t="inlineStr">
        <is>
          <t>AVG_DELIVERY_DELAY</t>
        </is>
      </c>
      <c r="D61" s="4" t="inlineStr">
        <is>
          <t>Avg Delivery Delay (late only)</t>
        </is>
      </c>
      <c r="E61" s="4" t="inlineStr">
        <is>
          <t>days</t>
        </is>
      </c>
      <c r="F61" s="4" t="inlineStr">
        <is>
          <t>Vendor</t>
        </is>
      </c>
      <c r="G61" s="4" t="inlineStr">
        <is>
          <t>_kpi_engine._vendor()</t>
        </is>
      </c>
    </row>
    <row r="62">
      <c r="A62" s="6" t="n">
        <v>58</v>
      </c>
      <c r="B62" s="12" t="inlineStr">
        <is>
          <t>VENDOR</t>
        </is>
      </c>
      <c r="C62" s="6" t="inlineStr">
        <is>
          <t>TOP_VENDOR_SPEND</t>
        </is>
      </c>
      <c r="D62" s="6" t="inlineStr">
        <is>
          <t>Top-10 Vendor Spend Share</t>
        </is>
      </c>
      <c r="E62" s="6" t="inlineStr">
        <is>
          <t>INR/JSON</t>
        </is>
      </c>
      <c r="F62" s="6" t="inlineStr">
        <is>
          <t>Vendor</t>
        </is>
      </c>
      <c r="G62" s="6" t="inlineStr">
        <is>
          <t>_kpi_engine._vendor()</t>
        </is>
      </c>
    </row>
    <row r="63">
      <c r="A63" s="4" t="n">
        <v>59</v>
      </c>
      <c r="B63" s="13" t="inlineStr">
        <is>
          <t>VENDOR</t>
        </is>
      </c>
      <c r="C63" s="4" t="inlineStr">
        <is>
          <t>BLOCKED_VENDOR_COUNT</t>
        </is>
      </c>
      <c r="D63" s="4" t="inlineStr">
        <is>
          <t>Blocked Vendor Count</t>
        </is>
      </c>
      <c r="E63" s="4" t="inlineStr">
        <is>
          <t>count</t>
        </is>
      </c>
      <c r="F63" s="4" t="inlineStr">
        <is>
          <t>Vendor</t>
        </is>
      </c>
      <c r="G63" s="4" t="inlineStr">
        <is>
          <t>_kpi_engine._vendor()</t>
        </is>
      </c>
    </row>
    <row r="64">
      <c r="A64" s="6" t="n">
        <v>60</v>
      </c>
      <c r="B64" s="12" t="inlineStr">
        <is>
          <t>VENDOR</t>
        </is>
      </c>
      <c r="C64" s="6" t="inlineStr">
        <is>
          <t>MSME_VENDOR_COUNT</t>
        </is>
      </c>
      <c r="D64" s="6" t="inlineStr">
        <is>
          <t>MSME Vendor Count</t>
        </is>
      </c>
      <c r="E64" s="6" t="inlineStr">
        <is>
          <t>count</t>
        </is>
      </c>
      <c r="F64" s="6" t="inlineStr">
        <is>
          <t>Vendor</t>
        </is>
      </c>
      <c r="G64" s="6" t="inlineStr">
        <is>
          <t>_kpi_engine._vendor()</t>
        </is>
      </c>
    </row>
    <row r="65">
      <c r="A65" s="4" t="n">
        <v>61</v>
      </c>
      <c r="B65" s="13" t="inlineStr">
        <is>
          <t>VENDOR</t>
        </is>
      </c>
      <c r="C65" s="4" t="inlineStr">
        <is>
          <t>VENDOR_COMPLIANCE_RATE</t>
        </is>
      </c>
      <c r="D65" s="4" t="inlineStr">
        <is>
          <t>Vendor Compliance Rate</t>
        </is>
      </c>
      <c r="E65" s="4" t="inlineStr">
        <is>
          <t>%%</t>
        </is>
      </c>
      <c r="F65" s="4" t="inlineStr">
        <is>
          <t>Vendor</t>
        </is>
      </c>
      <c r="G65" s="4" t="inlineStr">
        <is>
          <t>_kpi_engine._vendor()</t>
        </is>
      </c>
    </row>
    <row r="66">
      <c r="A66" s="6" t="n">
        <v>62</v>
      </c>
      <c r="B66" s="12" t="inlineStr">
        <is>
          <t>VENDOR</t>
        </is>
      </c>
      <c r="C66" s="6" t="inlineStr">
        <is>
          <t>VENDOR_MASTER_CHANGES</t>
        </is>
      </c>
      <c r="D66" s="6" t="inlineStr">
        <is>
          <t>Vendor Master Changes (MTD)</t>
        </is>
      </c>
      <c r="E66" s="6" t="inlineStr">
        <is>
          <t>count</t>
        </is>
      </c>
      <c r="F66" s="6" t="inlineStr">
        <is>
          <t>Vendor</t>
        </is>
      </c>
      <c r="G66" s="6" t="inlineStr">
        <is>
          <t>_kpi_engine._vendor()</t>
        </is>
      </c>
    </row>
    <row r="67">
      <c r="A67" s="4" t="n">
        <v>63</v>
      </c>
      <c r="B67" s="14" t="inlineStr">
        <is>
          <t>UTILIZATION</t>
        </is>
      </c>
      <c r="C67" s="4" t="inlineStr">
        <is>
          <t>CAPEX_SPEND_YTD</t>
        </is>
      </c>
      <c r="D67" s="4" t="inlineStr">
        <is>
          <t>Total CAPEX Spend (YTD)</t>
        </is>
      </c>
      <c r="E67" s="4" t="inlineStr">
        <is>
          <t>INR</t>
        </is>
      </c>
      <c r="F67" s="4" t="inlineStr">
        <is>
          <t>Utilization</t>
        </is>
      </c>
      <c r="G67" s="4" t="inlineStr">
        <is>
          <t>_kpi_engine._utilization()</t>
        </is>
      </c>
    </row>
    <row r="68">
      <c r="A68" s="6" t="n">
        <v>64</v>
      </c>
      <c r="B68" s="15" t="inlineStr">
        <is>
          <t>UTILIZATION</t>
        </is>
      </c>
      <c r="C68" s="6" t="inlineStr">
        <is>
          <t>OPEX_SPEND_YTD</t>
        </is>
      </c>
      <c r="D68" s="6" t="inlineStr">
        <is>
          <t>Total OPEX Spend (YTD)</t>
        </is>
      </c>
      <c r="E68" s="6" t="inlineStr">
        <is>
          <t>INR</t>
        </is>
      </c>
      <c r="F68" s="6" t="inlineStr">
        <is>
          <t>Utilization</t>
        </is>
      </c>
      <c r="G68" s="6" t="inlineStr">
        <is>
          <t>_kpi_engine._utilization()</t>
        </is>
      </c>
    </row>
    <row r="69">
      <c r="A69" s="4" t="n">
        <v>65</v>
      </c>
      <c r="B69" s="14" t="inlineStr">
        <is>
          <t>UTILIZATION</t>
        </is>
      </c>
      <c r="C69" s="4" t="inlineStr">
        <is>
          <t>CAPEX_PCT</t>
        </is>
      </c>
      <c r="D69" s="4" t="inlineStr">
        <is>
          <t>CAPEX as %% of Total</t>
        </is>
      </c>
      <c r="E69" s="4" t="inlineStr">
        <is>
          <t>%%</t>
        </is>
      </c>
      <c r="F69" s="4" t="inlineStr">
        <is>
          <t>Utilization</t>
        </is>
      </c>
      <c r="G69" s="4" t="inlineStr">
        <is>
          <t>_kpi_engine._utilization()</t>
        </is>
      </c>
    </row>
    <row r="70">
      <c r="A70" s="6" t="n">
        <v>66</v>
      </c>
      <c r="B70" s="15" t="inlineStr">
        <is>
          <t>UTILIZATION</t>
        </is>
      </c>
      <c r="C70" s="6" t="inlineStr">
        <is>
          <t>OPEX_PCT</t>
        </is>
      </c>
      <c r="D70" s="6" t="inlineStr">
        <is>
          <t>OPEX as %% of Total</t>
        </is>
      </c>
      <c r="E70" s="6" t="inlineStr">
        <is>
          <t>%%</t>
        </is>
      </c>
      <c r="F70" s="6" t="inlineStr">
        <is>
          <t>Utilization</t>
        </is>
      </c>
      <c r="G70" s="6" t="inlineStr">
        <is>
          <t>_kpi_engine._utilization()</t>
        </is>
      </c>
    </row>
    <row r="71">
      <c r="A71" s="4" t="n">
        <v>67</v>
      </c>
      <c r="B71" s="14" t="inlineStr">
        <is>
          <t>UTILIZATION</t>
        </is>
      </c>
      <c r="C71" s="4" t="inlineStr">
        <is>
          <t>CAPEX_PO_COUNT</t>
        </is>
      </c>
      <c r="D71" s="4" t="inlineStr">
        <is>
          <t>CAPEX PO Count (YTD)</t>
        </is>
      </c>
      <c r="E71" s="4" t="inlineStr">
        <is>
          <t>count</t>
        </is>
      </c>
      <c r="F71" s="4" t="inlineStr">
        <is>
          <t>Utilization</t>
        </is>
      </c>
      <c r="G71" s="4" t="inlineStr">
        <is>
          <t>_kpi_engine._utilization()</t>
        </is>
      </c>
    </row>
    <row r="72">
      <c r="A72" s="6" t="n">
        <v>68</v>
      </c>
      <c r="B72" s="15" t="inlineStr">
        <is>
          <t>UTILIZATION</t>
        </is>
      </c>
      <c r="C72" s="6" t="inlineStr">
        <is>
          <t>OPEX_PO_COUNT</t>
        </is>
      </c>
      <c r="D72" s="6" t="inlineStr">
        <is>
          <t>OPEX PO Count (YTD)</t>
        </is>
      </c>
      <c r="E72" s="6" t="inlineStr">
        <is>
          <t>count</t>
        </is>
      </c>
      <c r="F72" s="6" t="inlineStr">
        <is>
          <t>Utilization</t>
        </is>
      </c>
      <c r="G72" s="6" t="inlineStr">
        <is>
          <t>_kpi_engine._utilization()</t>
        </is>
      </c>
    </row>
    <row r="73">
      <c r="A73" s="4" t="n">
        <v>69</v>
      </c>
      <c r="B73" s="14" t="inlineStr">
        <is>
          <t>UTILIZATION</t>
        </is>
      </c>
      <c r="C73" s="4" t="inlineStr">
        <is>
          <t>CAPEX_AVG_PO_VALUE</t>
        </is>
      </c>
      <c r="D73" s="4" t="inlineStr">
        <is>
          <t>Avg CAPEX PO Value</t>
        </is>
      </c>
      <c r="E73" s="4" t="inlineStr">
        <is>
          <t>INR</t>
        </is>
      </c>
      <c r="F73" s="4" t="inlineStr">
        <is>
          <t>Utilization</t>
        </is>
      </c>
      <c r="G73" s="4" t="inlineStr">
        <is>
          <t>_kpi_engine._utilization()</t>
        </is>
      </c>
    </row>
    <row r="74">
      <c r="A74" s="6" t="n">
        <v>70</v>
      </c>
      <c r="B74" s="15" t="inlineStr">
        <is>
          <t>UTILIZATION</t>
        </is>
      </c>
      <c r="C74" s="6" t="inlineStr">
        <is>
          <t>OPEX_AVG_PO_VALUE</t>
        </is>
      </c>
      <c r="D74" s="6" t="inlineStr">
        <is>
          <t>Avg OPEX PO Value</t>
        </is>
      </c>
      <c r="E74" s="6" t="inlineStr">
        <is>
          <t>INR</t>
        </is>
      </c>
      <c r="F74" s="6" t="inlineStr">
        <is>
          <t>Utilization</t>
        </is>
      </c>
      <c r="G74" s="6" t="inlineStr">
        <is>
          <t>_kpi_engine._utilization()</t>
        </is>
      </c>
    </row>
    <row r="75">
      <c r="A75" s="4" t="n">
        <v>71</v>
      </c>
      <c r="B75" s="14" t="inlineStr">
        <is>
          <t>UTILIZATION</t>
        </is>
      </c>
      <c r="C75" s="4" t="inlineStr">
        <is>
          <t>CAPEX_PENDING_VALUE</t>
        </is>
      </c>
      <c r="D75" s="4" t="inlineStr">
        <is>
          <t>CAPEX Pending Delivery</t>
        </is>
      </c>
      <c r="E75" s="4" t="inlineStr">
        <is>
          <t>INR</t>
        </is>
      </c>
      <c r="F75" s="4" t="inlineStr">
        <is>
          <t>Utilization</t>
        </is>
      </c>
      <c r="G75" s="4" t="inlineStr">
        <is>
          <t>_kpi_engine._utilization()</t>
        </is>
      </c>
    </row>
    <row r="76">
      <c r="A76" s="6" t="n">
        <v>72</v>
      </c>
      <c r="B76" s="15" t="inlineStr">
        <is>
          <t>UTILIZATION</t>
        </is>
      </c>
      <c r="C76" s="6" t="inlineStr">
        <is>
          <t>OPEX_PENDING_VALUE</t>
        </is>
      </c>
      <c r="D76" s="6" t="inlineStr">
        <is>
          <t>OPEX Pending Delivery</t>
        </is>
      </c>
      <c r="E76" s="6" t="inlineStr">
        <is>
          <t>INR</t>
        </is>
      </c>
      <c r="F76" s="6" t="inlineStr">
        <is>
          <t>Utilization</t>
        </is>
      </c>
      <c r="G76" s="6" t="inlineStr">
        <is>
          <t>_kpi_engine._utilization()</t>
        </is>
      </c>
    </row>
    <row r="77">
      <c r="A77" s="4" t="n">
        <v>73</v>
      </c>
      <c r="B77" s="14" t="inlineStr">
        <is>
          <t>UTILIZATION</t>
        </is>
      </c>
      <c r="C77" s="4" t="inlineStr">
        <is>
          <t>CAPEX_BY_CATEGORY</t>
        </is>
      </c>
      <c r="D77" s="4" t="inlineStr">
        <is>
          <t>CAPEX by Material Category</t>
        </is>
      </c>
      <c r="E77" s="4" t="inlineStr">
        <is>
          <t>INR/JSON</t>
        </is>
      </c>
      <c r="F77" s="4" t="inlineStr">
        <is>
          <t>Utilization</t>
        </is>
      </c>
      <c r="G77" s="4" t="inlineStr">
        <is>
          <t>_kpi_engine._utilization()</t>
        </is>
      </c>
    </row>
    <row r="78">
      <c r="A78" s="6" t="n">
        <v>74</v>
      </c>
      <c r="B78" s="15" t="inlineStr">
        <is>
          <t>UTILIZATION</t>
        </is>
      </c>
      <c r="C78" s="6" t="inlineStr">
        <is>
          <t>OPEX_BY_CATEGORY</t>
        </is>
      </c>
      <c r="D78" s="6" t="inlineStr">
        <is>
          <t>OPEX by Material Category</t>
        </is>
      </c>
      <c r="E78" s="6" t="inlineStr">
        <is>
          <t>INR/JSON</t>
        </is>
      </c>
      <c r="F78" s="6" t="inlineStr">
        <is>
          <t>Utilization</t>
        </is>
      </c>
      <c r="G78" s="6" t="inlineStr">
        <is>
          <t>_kpi_engine._utilization()</t>
        </is>
      </c>
    </row>
    <row r="79">
      <c r="A79" s="4" t="n">
        <v>75</v>
      </c>
      <c r="B79" s="14" t="inlineStr">
        <is>
          <t>UTILIZATION</t>
        </is>
      </c>
      <c r="C79" s="4" t="inlineStr">
        <is>
          <t>CAPEX_OPEX_BY_PLANT</t>
        </is>
      </c>
      <c r="D79" s="4" t="inlineStr">
        <is>
          <t>CAPEX/OPEX by Plant</t>
        </is>
      </c>
      <c r="E79" s="4" t="inlineStr">
        <is>
          <t>INR/JSON</t>
        </is>
      </c>
      <c r="F79" s="4" t="inlineStr">
        <is>
          <t>Utilization</t>
        </is>
      </c>
      <c r="G79" s="4" t="inlineStr">
        <is>
          <t>_kpi_engine._utilization()</t>
        </is>
      </c>
    </row>
    <row r="80">
      <c r="A80" s="6" t="n">
        <v>76</v>
      </c>
      <c r="B80" s="15" t="inlineStr">
        <is>
          <t>UTILIZATION</t>
        </is>
      </c>
      <c r="C80" s="6" t="inlineStr">
        <is>
          <t>SW_LIC_UTIL_RATE</t>
        </is>
      </c>
      <c r="D80" s="6" t="inlineStr">
        <is>
          <t>Avg License Utilization Rate</t>
        </is>
      </c>
      <c r="E80" s="6" t="inlineStr">
        <is>
          <t>%%</t>
        </is>
      </c>
      <c r="F80" s="6" t="inlineStr">
        <is>
          <t>Utilization</t>
        </is>
      </c>
      <c r="G80" s="6" t="inlineStr">
        <is>
          <t>_kpi_engine._utilization()</t>
        </is>
      </c>
    </row>
    <row r="81">
      <c r="A81" s="4" t="n">
        <v>77</v>
      </c>
      <c r="B81" s="14" t="inlineStr">
        <is>
          <t>UTILIZATION</t>
        </is>
      </c>
      <c r="C81" s="4" t="inlineStr">
        <is>
          <t>SW_UNDERUTIL_COUNT</t>
        </is>
      </c>
      <c r="D81" s="4" t="inlineStr">
        <is>
          <t>Under-Utilized Tools (&lt;70%%)</t>
        </is>
      </c>
      <c r="E81" s="4" t="inlineStr">
        <is>
          <t>count</t>
        </is>
      </c>
      <c r="F81" s="4" t="inlineStr">
        <is>
          <t>Utilization</t>
        </is>
      </c>
      <c r="G81" s="4" t="inlineStr">
        <is>
          <t>_kpi_engine._utilization()</t>
        </is>
      </c>
    </row>
    <row r="82">
      <c r="A82" s="6" t="n">
        <v>78</v>
      </c>
      <c r="B82" s="15" t="inlineStr">
        <is>
          <t>UTILIZATION</t>
        </is>
      </c>
      <c r="C82" s="6" t="inlineStr">
        <is>
          <t>SW_TOTAL_LICENSES</t>
        </is>
      </c>
      <c r="D82" s="6" t="inlineStr">
        <is>
          <t>Total Licensed Seats</t>
        </is>
      </c>
      <c r="E82" s="6" t="inlineStr">
        <is>
          <t>seats</t>
        </is>
      </c>
      <c r="F82" s="6" t="inlineStr">
        <is>
          <t>Utilization</t>
        </is>
      </c>
      <c r="G82" s="6" t="inlineStr">
        <is>
          <t>_kpi_engine._utilization()</t>
        </is>
      </c>
    </row>
    <row r="83">
      <c r="A83" s="4" t="n">
        <v>79</v>
      </c>
      <c r="B83" s="14" t="inlineStr">
        <is>
          <t>UTILIZATION</t>
        </is>
      </c>
      <c r="C83" s="4" t="inlineStr">
        <is>
          <t>SW_ACTIVE_USERS</t>
        </is>
      </c>
      <c r="D83" s="4" t="inlineStr">
        <is>
          <t>Total Active License Users</t>
        </is>
      </c>
      <c r="E83" s="4" t="inlineStr">
        <is>
          <t>users</t>
        </is>
      </c>
      <c r="F83" s="4" t="inlineStr">
        <is>
          <t>Utilization</t>
        </is>
      </c>
      <c r="G83" s="4" t="inlineStr">
        <is>
          <t>_kpi_engine._utilization()</t>
        </is>
      </c>
    </row>
    <row r="84">
      <c r="A84" s="6" t="n">
        <v>80</v>
      </c>
      <c r="B84" s="15" t="inlineStr">
        <is>
          <t>UTILIZATION</t>
        </is>
      </c>
      <c r="C84" s="6" t="inlineStr">
        <is>
          <t>SW_UNUSED_SEATS</t>
        </is>
      </c>
      <c r="D84" s="6" t="inlineStr">
        <is>
          <t>Unused License Seats</t>
        </is>
      </c>
      <c r="E84" s="6" t="inlineStr">
        <is>
          <t>seats</t>
        </is>
      </c>
      <c r="F84" s="6" t="inlineStr">
        <is>
          <t>Utilization</t>
        </is>
      </c>
      <c r="G84" s="6" t="inlineStr">
        <is>
          <t>_kpi_engine._utilization()</t>
        </is>
      </c>
    </row>
    <row r="85">
      <c r="A85" s="4" t="n">
        <v>81</v>
      </c>
      <c r="B85" s="14" t="inlineStr">
        <is>
          <t>UTILIZATION</t>
        </is>
      </c>
      <c r="C85" s="4" t="inlineStr">
        <is>
          <t>SW_ANNUAL_COST</t>
        </is>
      </c>
      <c r="D85" s="4" t="inlineStr">
        <is>
          <t>Total Annual SW License Cost</t>
        </is>
      </c>
      <c r="E85" s="4" t="inlineStr">
        <is>
          <t>INR Cr</t>
        </is>
      </c>
      <c r="F85" s="4" t="inlineStr">
        <is>
          <t>Utilization</t>
        </is>
      </c>
      <c r="G85" s="4" t="inlineStr">
        <is>
          <t>_kpi_engine._utilization()</t>
        </is>
      </c>
    </row>
    <row r="86">
      <c r="A86" s="6" t="n">
        <v>82</v>
      </c>
      <c r="B86" s="15" t="inlineStr">
        <is>
          <t>UTILIZATION</t>
        </is>
      </c>
      <c r="C86" s="6" t="inlineStr">
        <is>
          <t>SW_COST_PER_USER</t>
        </is>
      </c>
      <c r="D86" s="6" t="inlineStr">
        <is>
          <t>Effective Cost Per Active User</t>
        </is>
      </c>
      <c r="E86" s="6" t="inlineStr">
        <is>
          <t>INR</t>
        </is>
      </c>
      <c r="F86" s="6" t="inlineStr">
        <is>
          <t>Utilization</t>
        </is>
      </c>
      <c r="G86" s="6" t="inlineStr">
        <is>
          <t>_kpi_engine._utilization()</t>
        </is>
      </c>
    </row>
    <row r="87">
      <c r="A87" s="4" t="n">
        <v>83</v>
      </c>
      <c r="B87" s="14" t="inlineStr">
        <is>
          <t>UTILIZATION</t>
        </is>
      </c>
      <c r="C87" s="4" t="inlineStr">
        <is>
          <t>SW_WASTED_COST</t>
        </is>
      </c>
      <c r="D87" s="4" t="inlineStr">
        <is>
          <t>Wasted License Cost (Under-util)</t>
        </is>
      </c>
      <c r="E87" s="4" t="inlineStr">
        <is>
          <t>INR Cr</t>
        </is>
      </c>
      <c r="F87" s="4" t="inlineStr">
        <is>
          <t>Utilization</t>
        </is>
      </c>
      <c r="G87" s="4" t="inlineStr">
        <is>
          <t>_kpi_engine._utilization()</t>
        </is>
      </c>
    </row>
    <row r="88">
      <c r="A88" s="6" t="n">
        <v>84</v>
      </c>
      <c r="B88" s="15" t="inlineStr">
        <is>
          <t>UTILIZATION</t>
        </is>
      </c>
      <c r="C88" s="6" t="inlineStr">
        <is>
          <t>SW_RENEWAL_90D</t>
        </is>
      </c>
      <c r="D88" s="6" t="inlineStr">
        <is>
          <t>Licenses Renewing in 90 Days</t>
        </is>
      </c>
      <c r="E88" s="6" t="inlineStr">
        <is>
          <t>count</t>
        </is>
      </c>
      <c r="F88" s="6" t="inlineStr">
        <is>
          <t>Utilization</t>
        </is>
      </c>
      <c r="G88" s="6" t="inlineStr">
        <is>
          <t>_kpi_engine._utilization()</t>
        </is>
      </c>
    </row>
    <row r="89">
      <c r="A89" s="4" t="n">
        <v>85</v>
      </c>
      <c r="B89" s="14" t="inlineStr">
        <is>
          <t>UTILIZATION</t>
        </is>
      </c>
      <c r="C89" s="4" t="inlineStr">
        <is>
          <t>SW_VENDOR_BREAKDOWN</t>
        </is>
      </c>
      <c r="D89" s="4" t="inlineStr">
        <is>
          <t>SW Vendor Breakdown</t>
        </is>
      </c>
      <c r="E89" s="4" t="inlineStr">
        <is>
          <t>JSON</t>
        </is>
      </c>
      <c r="F89" s="4" t="inlineStr">
        <is>
          <t>Utilization</t>
        </is>
      </c>
      <c r="G89" s="4" t="inlineStr">
        <is>
          <t>_kpi_engine._utilization()</t>
        </is>
      </c>
    </row>
    <row r="90">
      <c r="A90" s="6" t="n">
        <v>86</v>
      </c>
      <c r="B90" s="15" t="inlineStr">
        <is>
          <t>UTILIZATION</t>
        </is>
      </c>
      <c r="C90" s="6" t="inlineStr">
        <is>
          <t>MAT_DELIV_UTIL_RATE</t>
        </is>
      </c>
      <c r="D90" s="6" t="inlineStr">
        <is>
          <t>Material Delivery Utilization</t>
        </is>
      </c>
      <c r="E90" s="6" t="inlineStr">
        <is>
          <t>%%</t>
        </is>
      </c>
      <c r="F90" s="6" t="inlineStr">
        <is>
          <t>Utilization</t>
        </is>
      </c>
      <c r="G90" s="6" t="inlineStr">
        <is>
          <t>_kpi_engine._utilization()</t>
        </is>
      </c>
    </row>
    <row r="91">
      <c r="A91" s="4" t="n">
        <v>87</v>
      </c>
      <c r="B91" s="14" t="inlineStr">
        <is>
          <t>UTILIZATION</t>
        </is>
      </c>
      <c r="C91" s="4" t="inlineStr">
        <is>
          <t>MAT_DELIVERY_COMPLETE_PCT</t>
        </is>
      </c>
      <c r="D91" s="4" t="inlineStr">
        <is>
          <t>Delivery Completed PO %%</t>
        </is>
      </c>
      <c r="E91" s="4" t="inlineStr">
        <is>
          <t>%%</t>
        </is>
      </c>
      <c r="F91" s="4" t="inlineStr">
        <is>
          <t>Utilization</t>
        </is>
      </c>
      <c r="G91" s="4" t="inlineStr">
        <is>
          <t>_kpi_engine._utilization()</t>
        </is>
      </c>
    </row>
    <row r="92">
      <c r="A92" s="6" t="n">
        <v>88</v>
      </c>
      <c r="B92" s="15" t="inlineStr">
        <is>
          <t>UTILIZATION</t>
        </is>
      </c>
      <c r="C92" s="6" t="inlineStr">
        <is>
          <t>MAT_OPEN_PO_VALUE</t>
        </is>
      </c>
      <c r="D92" s="6" t="inlineStr">
        <is>
          <t>Open PO Value Not GRN'd</t>
        </is>
      </c>
      <c r="E92" s="6" t="inlineStr">
        <is>
          <t>INR Cr</t>
        </is>
      </c>
      <c r="F92" s="6" t="inlineStr">
        <is>
          <t>Utilization</t>
        </is>
      </c>
      <c r="G92" s="6" t="inlineStr">
        <is>
          <t>_kpi_engine._utilization()</t>
        </is>
      </c>
    </row>
    <row r="93">
      <c r="A93" s="4" t="n">
        <v>89</v>
      </c>
      <c r="B93" s="14" t="inlineStr">
        <is>
          <t>UTILIZATION</t>
        </is>
      </c>
      <c r="C93" s="4" t="inlineStr">
        <is>
          <t>MAT_3WAY_MATCH</t>
        </is>
      </c>
      <c r="D93" s="4" t="inlineStr">
        <is>
          <t>3-Way Match Rate (Materials)</t>
        </is>
      </c>
      <c r="E93" s="4" t="inlineStr">
        <is>
          <t>%%</t>
        </is>
      </c>
      <c r="F93" s="4" t="inlineStr">
        <is>
          <t>Utilization</t>
        </is>
      </c>
      <c r="G93" s="4" t="inlineStr">
        <is>
          <t>_kpi_engine._utilization()</t>
        </is>
      </c>
    </row>
    <row r="94">
      <c r="A94" s="6" t="n">
        <v>90</v>
      </c>
      <c r="B94" s="15" t="inlineStr">
        <is>
          <t>UTILIZATION</t>
        </is>
      </c>
      <c r="C94" s="6" t="inlineStr">
        <is>
          <t>MAT_VENDOR_FILL_RATE</t>
        </is>
      </c>
      <c r="D94" s="6" t="inlineStr">
        <is>
          <t>Material Vendor Fill Rate</t>
        </is>
      </c>
      <c r="E94" s="6" t="inlineStr">
        <is>
          <t>%%</t>
        </is>
      </c>
      <c r="F94" s="6" t="inlineStr">
        <is>
          <t>Utilization</t>
        </is>
      </c>
      <c r="G94" s="6" t="inlineStr">
        <is>
          <t>_kpi_engine._utilization()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8" customWidth="1" min="3" max="3"/>
    <col width="14" customWidth="1" min="4" max="4"/>
    <col width="42" customWidth="1" min="5" max="5"/>
    <col width="84" customWidth="1" min="6" max="6"/>
  </cols>
  <sheetData>
    <row r="1" ht="26" customHeight="1">
      <c r="A1" s="16" t="inlineStr">
        <is>
          <t>Procurement Dashboard — KPI Reference</t>
        </is>
      </c>
    </row>
    <row r="2" ht="14" customHeight="1">
      <c r="A2" s="17" t="inlineStr">
        <is>
          <t>Source: backend/services/kpi_engine.py  |  Vars: {FY}=FY start (Apr 1), {MTD}=month start, {ref_date}=MAX(po_dump.document_date)</t>
        </is>
      </c>
    </row>
    <row r="3" ht="16" customHeight="1">
      <c r="A3" s="18" t="inlineStr">
        <is>
          <t>#</t>
        </is>
      </c>
      <c r="B3" s="18" t="inlineStr">
        <is>
          <t>KPI Code</t>
        </is>
      </c>
      <c r="C3" s="18" t="inlineStr">
        <is>
          <t>KPI Name</t>
        </is>
      </c>
      <c r="D3" s="18" t="inlineStr">
        <is>
          <t>Unit</t>
        </is>
      </c>
      <c r="E3" s="18" t="inlineStr">
        <is>
          <t>Formula / Description</t>
        </is>
      </c>
      <c r="F3" s="18" t="inlineStr">
        <is>
          <t>SQL Query</t>
        </is>
      </c>
    </row>
    <row r="4" ht="44" customHeight="1">
      <c r="A4" s="4" t="n">
        <v>1</v>
      </c>
      <c r="B4" s="19" t="inlineStr">
        <is>
          <t>TOTAL_PO_VALUE_MTD</t>
        </is>
      </c>
      <c r="C4" s="4" t="inlineStr">
        <is>
          <t>Total PO Value (MTD)</t>
        </is>
      </c>
      <c r="D4" s="20" t="inlineStr">
        <is>
          <t>INR</t>
        </is>
      </c>
      <c r="E4" s="21" t="inlineStr">
        <is>
          <t>SUM(net_order_value) for active (not deleted) POs created in current month.
Date: COALESCE(created_on, document_date) &gt;= MTD_START
NOT_DELETED = deletion_indicator IS NULL OR NOT IN ('L','X')</t>
        </is>
      </c>
      <c r="F4" s="22" t="inlineStr">
        <is>
          <t>SELECT SUM(CAST(net_order_value AS REAL))
FROM po_dump
WHERE (deletion_indicator IS NULL OR deletion_indicator NOT IN ('L','X'))
  AND COALESCE(NULLIF(created_on,''), document_date) &gt;= '{MTD}'</t>
        </is>
      </c>
    </row>
    <row r="5" ht="44" customHeight="1">
      <c r="A5" s="23" t="n">
        <v>2</v>
      </c>
      <c r="B5" s="24" t="inlineStr">
        <is>
          <t>TOTAL_PO_VALUE_YTD</t>
        </is>
      </c>
      <c r="C5" s="23" t="inlineStr">
        <is>
          <t>Total PO Value (YTD)</t>
        </is>
      </c>
      <c r="D5" s="25" t="inlineStr">
        <is>
          <t>INR</t>
        </is>
      </c>
      <c r="E5" s="26" t="inlineStr">
        <is>
          <t>SUM(net_order_value) for active POs from Financial Year start (April 1).
FY_START = April 1 of current FY based on ref_date = MAX(po_dump.document_date)</t>
        </is>
      </c>
      <c r="F5" s="27" t="inlineStr">
        <is>
          <t>SELECT SUM(CAST(net_order_value AS REAL))
FROM po_dump
WHERE (deletion_indicator IS NULL OR deletion_indicator NOT IN ('L','X'))
  AND COALESCE(NULLIF(created_on,''), document_date) &gt;= '{FY}'</t>
        </is>
      </c>
    </row>
    <row r="6" ht="44" customHeight="1">
      <c r="A6" s="4" t="n">
        <v>3</v>
      </c>
      <c r="B6" s="19" t="inlineStr">
        <is>
          <t>PO_LINE_COUNT_YTD</t>
        </is>
      </c>
      <c r="C6" s="4" t="inlineStr">
        <is>
          <t>PO Line Count (YTD)</t>
        </is>
      </c>
      <c r="D6" s="20" t="inlineStr">
        <is>
          <t>count</t>
        </is>
      </c>
      <c r="E6" s="21" t="inlineStr">
        <is>
          <t>COUNT DISTINCT purchasing_document||'|'||item for active lines since FY start.</t>
        </is>
      </c>
      <c r="F6" s="22" t="inlineStr">
        <is>
          <t>SELECT COUNT(DISTINCT purchasing_document || '|' || item)
FROM po_dump
WHERE (deletion_indicator IS NULL OR deletion_indicator NOT IN ('L','X'))
  AND COALESCE(NULLIF(created_on,''), document_date) &gt;= '{FY}'</t>
        </is>
      </c>
    </row>
    <row r="7" ht="44" customHeight="1">
      <c r="A7" s="23" t="n">
        <v>4</v>
      </c>
      <c r="B7" s="24" t="inlineStr">
        <is>
          <t>ACTIVE_PO_COUNT</t>
        </is>
      </c>
      <c r="C7" s="23" t="inlineStr">
        <is>
          <t>Active PO Count</t>
        </is>
      </c>
      <c r="D7" s="25" t="inlineStr">
        <is>
          <t>count</t>
        </is>
      </c>
      <c r="E7" s="26" t="inlineStr">
        <is>
          <t>COUNT DISTINCT purchasing_document where not deleted AND delivery not completed.</t>
        </is>
      </c>
      <c r="F7" s="27" t="inlineStr">
        <is>
          <t>SELECT COUNT(DISTINCT purchasing_document)
FROM po_dump
WHERE (deletion_indicator IS NULL OR deletion_indicator NOT IN ('L','X'))
  AND (delivery_completed IS NULL OR delivery_completed = '')</t>
        </is>
      </c>
    </row>
    <row r="8" ht="44" customHeight="1">
      <c r="A8" s="4" t="n">
        <v>5</v>
      </c>
      <c r="B8" s="19" t="inlineStr">
        <is>
          <t>PO_COUNT_MTD</t>
        </is>
      </c>
      <c r="C8" s="4" t="inlineStr">
        <is>
          <t>PO Count (MTD)</t>
        </is>
      </c>
      <c r="D8" s="20" t="inlineStr">
        <is>
          <t>count</t>
        </is>
      </c>
      <c r="E8" s="21" t="inlineStr">
        <is>
          <t>COUNT DISTINCT purchasing_document for active POs created this month.</t>
        </is>
      </c>
      <c r="F8" s="22" t="inlineStr">
        <is>
          <t>SELECT COUNT(DISTINCT purchasing_document)
FROM po_dump
WHERE (deletion_indicator IS NULL OR deletion_indicator NOT IN ('L','X'))
  AND COALESCE(NULLIF(created_on,''), document_date) &gt;= '{MTD}'</t>
        </is>
      </c>
    </row>
    <row r="9" ht="44" customHeight="1">
      <c r="A9" s="23" t="n">
        <v>6</v>
      </c>
      <c r="B9" s="24" t="inlineStr">
        <is>
          <t>AVG_PO_VALUE</t>
        </is>
      </c>
      <c r="C9" s="23" t="inlineStr">
        <is>
          <t>Average PO Value (MTD)</t>
        </is>
      </c>
      <c r="D9" s="25" t="inlineStr">
        <is>
          <t>INR</t>
        </is>
      </c>
      <c r="E9" s="26" t="inlineStr">
        <is>
          <t>AVG(net_order_value) for active POs with document_date &gt;= MTD start.</t>
        </is>
      </c>
      <c r="F9" s="27" t="inlineStr">
        <is>
          <t>SELECT AVG(CAST(net_order_value AS REAL))
FROM po_dump
WHERE (deletion_indicator IS NULL OR deletion_indicator NOT IN ('L','X'))
  AND document_date &gt;= '{MTD}'</t>
        </is>
      </c>
    </row>
    <row r="10" ht="44" customHeight="1">
      <c r="A10" s="4" t="n">
        <v>7</v>
      </c>
      <c r="B10" s="19" t="inlineStr">
        <is>
          <t>HIGH_VALUE_PO_COUNT</t>
        </is>
      </c>
      <c r="C10" s="4" t="inlineStr">
        <is>
          <t>High-Value PO Count</t>
        </is>
      </c>
      <c r="D10" s="20" t="inlineStr">
        <is>
          <t>&gt;threshold INR</t>
        </is>
      </c>
      <c r="E10" s="21" t="inlineStr">
        <is>
          <t>COUNT DISTINCT POs where net_order_value &gt; configurable threshold.
Threshold from kpi_config table, key=HIGH_VALUE_PO_THRESHOLD (default ₹1,00,00,000).</t>
        </is>
      </c>
      <c r="F10" s="22" t="inlineStr">
        <is>
          <t>SELECT COUNT(DISTINCT purchasing_document)
FROM po_dump
WHERE (deletion_indicator IS NULL OR deletion_indicator NOT IN ('L','X'))
  AND CAST(net_order_value AS REAL) &gt; {high_value_threshold}</t>
        </is>
      </c>
    </row>
    <row r="11" ht="40" customHeight="1">
      <c r="A11" s="23" t="n">
        <v>8</v>
      </c>
      <c r="B11" s="24" t="inlineStr">
        <is>
          <t>HIGH_VALUE_PO_RATE</t>
        </is>
      </c>
      <c r="C11" s="23" t="inlineStr">
        <is>
          <t>High-Value PO Rate (%)</t>
        </is>
      </c>
      <c r="D11" s="25" t="inlineStr">
        <is>
          <t>%%</t>
        </is>
      </c>
      <c r="E11" s="26" t="inlineStr">
        <is>
          <t>Formula: HIGH_VALUE_PO_COUNT / COUNT(DISTINCT po_dump.purchasing_document WHERE doc_date&gt;=FY) × 100</t>
        </is>
      </c>
      <c r="F11" s="27">
        <f> HIGH_VALUE_PO_COUNT / Total_Active_PO_Count_YTD × 100</f>
        <v/>
      </c>
    </row>
    <row r="12" ht="66" customHeight="1">
      <c r="A12" s="4" t="n">
        <v>9</v>
      </c>
      <c r="B12" s="19" t="inlineStr">
        <is>
          <t>PR_TO_PO_DAYS</t>
        </is>
      </c>
      <c r="C12" s="4" t="inlineStr">
        <is>
          <t>Avg PR-to-PO Time</t>
        </is>
      </c>
      <c r="D12" s="20" t="inlineStr">
        <is>
          <t>days</t>
        </is>
      </c>
      <c r="E12" s="21" t="inlineStr">
        <is>
          <t>AVG(pr_to_po_days) from pr_po_grn_invoice fact table.
pr_to_po_days pre-computed during ETL: PO.created_on − PR.created_on
Excludes nulls and negatives.</t>
        </is>
      </c>
      <c r="F12" s="22" t="inlineStr">
        <is>
          <t>SELECT AVG(CAST(pr_to_po_days AS REAL))
FROM pr_po_grn_invoice
WHERE pr_to_po_days IS NOT NULL
  AND pr_to_po_days &gt;= 0
  AND purchase_requisition IS NOT NULL
  AND purchasing_document IS NOT NULL</t>
        </is>
      </c>
    </row>
    <row r="13" ht="121" customHeight="1">
      <c r="A13" s="23" t="n">
        <v>10</v>
      </c>
      <c r="B13" s="24" t="inlineStr">
        <is>
          <t>PO_APPROVAL_CYCLE</t>
        </is>
      </c>
      <c r="C13" s="23" t="inlineStr">
        <is>
          <t>PO Approval Cycle</t>
        </is>
      </c>
      <c r="D13" s="25" t="inlineStr">
        <is>
          <t>days</t>
        </is>
      </c>
      <c r="E13" s="26" t="inlineStr">
        <is>
          <t>AVG days from PO creation (created_on/ERDAT) to release date in change_log.
Join change_log where object_class='EINKBELEG', field_name='FRGZU', new_value LIKE 'X%%', change_indicator IN ('E','U').</t>
        </is>
      </c>
      <c r="F13" s="27" t="inlineStr">
        <is>
          <t>SELECT AVG((cl.change_date::DATE - po.created_on::DATE)::FLOAT)
FROM po_dump po
JOIN change_log cl
  ON  cl.object_id    = po.purchasing_document
 AND  cl.object_class = 'EINKBELEG'
 AND  cl.field_name   = 'FRGZU'
 AND  cl.change_indicator IN ('E','U')
 AND  cl.new_value    LIKE 'X%'
WHERE po.release_indicator LIKE 'X%'
  AND (po.deletion_indicator IS NULL OR po.deletion_indicator NOT IN ('L','X'))
  AND po.created_on IS NOT NULL AND po.created_on != ''</t>
        </is>
      </c>
    </row>
    <row r="14" ht="44" customHeight="1">
      <c r="A14" s="4" t="n">
        <v>11</v>
      </c>
      <c r="B14" s="19" t="inlineStr">
        <is>
          <t>PO_DELETION_MTD</t>
        </is>
      </c>
      <c r="C14" s="4" t="inlineStr">
        <is>
          <t>PO Deleted Line Items (MTD)</t>
        </is>
      </c>
      <c r="D14" s="20" t="inlineStr">
        <is>
          <t>count</t>
        </is>
      </c>
      <c r="E14" s="21" t="inlineStr">
        <is>
          <t>COUNT DISTINCT purchasing_document||'|'||item where deletion_indicator='L' and created &gt;= MTD.
Item-level deletion = EKPO-LOEKZ='L'.</t>
        </is>
      </c>
      <c r="F14" s="22" t="inlineStr">
        <is>
          <t>SELECT COUNT(DISTINCT purchasing_document || '|' || item)
FROM po_dump
WHERE deletion_indicator = 'L'
  AND COALESCE(NULLIF(created_on,''), document_date) &gt;= '{MTD}'</t>
        </is>
      </c>
    </row>
    <row r="15" ht="176" customHeight="1">
      <c r="A15" s="23" t="n">
        <v>12</v>
      </c>
      <c r="B15" s="24" t="inlineStr">
        <is>
          <t>PO_AMENDMENT_RATE</t>
        </is>
      </c>
      <c r="C15" s="23" t="inlineStr">
        <is>
          <t>PO Amendment Rate</t>
        </is>
      </c>
      <c r="D15" s="25" t="inlineStr">
        <is>
          <t>%%</t>
        </is>
      </c>
      <c r="E15" s="26" t="inlineStr">
        <is>
          <t>Formula: Amended_PO_Lines / Total_Active_PO_Lines × 100
Amended = lines with change_log entry on MATNR/NETPR/NETWR/MENGE fields (change_indicator IN E,U).</t>
        </is>
      </c>
      <c r="F15" s="27" t="inlineStr">
        <is>
          <t>-- Numerator: amended lines
SELECT COUNT(DISTINCT po.purchasing_document || '|' || po.item)
FROM po_dump po
JOIN change_log cl
  ON  cl.object_id    = po.purchasing_document
 AND  cl.object_class = 'EINKBELEG'
 AND  cl.change_indicator IN ('E','U')
 AND  cl.field_name   IN ('MATNR','NETPR','NETWR','MENGE')
WHERE (po.deletion_indicator IS NULL OR po.deletion_indicator NOT IN ('L','X'))
-- Denominator: total active lines
SELECT COUNT(DISTINCT purchasing_document || '|' || item)
FROM po_dump
WHERE (deletion_indicator IS NULL OR deletion_indicator NOT IN ('L','X'))
-- Rate = Numerator / Denominator × 100</t>
        </is>
      </c>
    </row>
    <row r="16" ht="132" customHeight="1">
      <c r="A16" s="4" t="n">
        <v>13</v>
      </c>
      <c r="B16" s="19" t="inlineStr">
        <is>
          <t>OPEN_PO_AGING</t>
        </is>
      </c>
      <c r="C16" s="4" t="inlineStr">
        <is>
          <t>Open PO Line Items (Overdue)</t>
        </is>
      </c>
      <c r="D16" s="20" t="inlineStr">
        <is>
          <t>count</t>
        </is>
      </c>
      <c r="E16" s="21" t="inlineStr">
        <is>
          <t>COUNT open PO lines where expected_delivery_date &lt; ref_date.
Open = delivery_completed blank AND order_qty ≠ delivered_qty AND not deleted.
Buckets: 1-30d / 31-60d / 61-90d / 90+d overdue.</t>
        </is>
      </c>
      <c r="F16" s="22" t="inlineStr">
        <is>
          <t>SELECT COUNT(DISTINCT po.purchasing_document || '|' || po.item)
FROM po_dump po
JOIN po_delivery_dump pod
  ON  pod.purchasing_document = po.purchasing_document
 AND  pod.item = po.item
WHERE (po.delivery_completed IS NULL OR po.delivery_completed = '')
  AND (po.deletion_indicator IS NULL OR po.deletion_indicator NOT IN ('L','X'))
  AND CAST(po.order_quantity AS REAL) !=
      CAST(COALESCE(NULLIF(po.delivered_quantity,''),'0') AS REAL)
  AND pod.expected_delivery_date IS NOT NULL
  AND pod.expected_delivery_date != ''
  AND ('{ref_date}'::DATE - pod.expected_delivery_date::DATE) &gt; 0</t>
        </is>
      </c>
    </row>
    <row r="17" ht="121" customHeight="1">
      <c r="A17" s="23" t="n">
        <v>14</v>
      </c>
      <c r="B17" s="24" t="inlineStr">
        <is>
          <t>OPEN_PR_AGING</t>
        </is>
      </c>
      <c r="C17" s="23" t="inlineStr">
        <is>
          <t>Open PR Lines &gt; 7 Days</t>
        </is>
      </c>
      <c r="D17" s="25" t="inlineStr">
        <is>
          <t>count</t>
        </is>
      </c>
      <c r="E17" s="26" t="inlineStr">
        <is>
          <t>COUNT DISTINCT released PR lines open (no PO created) &gt; 7 days.
Released = release_status LIKE 'X%%'. Checks NOT EXISTS in po_dump.</t>
        </is>
      </c>
      <c r="F17" s="27" t="inlineStr">
        <is>
          <t>SELECT COUNT(DISTINCT pr.purchase_requisition || '|' || pr.item_of_requisition)
FROM pr_dump pr
WHERE pr.release_status LIKE 'X%'
  AND (pr.deletion_indicator IS NULL OR pr.deletion_indicator = '')
  AND pr.release_date IS NOT NULL
  AND ('{ref_date}'::DATE - pr.release_date::DATE) &gt; 7
  AND NOT EXISTS (
      SELECT 1 FROM po_dump po
      WHERE po.purchase_requisition    = pr.purchase_requisition
        AND po.item_of_requisition = pr.item_of_requisition
  )</t>
        </is>
      </c>
    </row>
    <row r="18" ht="110" customHeight="1">
      <c r="A18" s="4" t="n">
        <v>15</v>
      </c>
      <c r="B18" s="19" t="inlineStr">
        <is>
          <t>MAVERICK_SPEND_RATE</t>
        </is>
      </c>
      <c r="C18" s="4" t="inlineStr">
        <is>
          <t>Maverick Spend Rate</t>
        </is>
      </c>
      <c r="D18" s="20" t="inlineStr">
        <is>
          <t>%%</t>
        </is>
      </c>
      <c r="E18" s="21" t="inlineStr">
        <is>
          <t>Formula: PO_without_PR / Total_active_PO × 100
Maverick = purchasing_document has no purchase_requisition (IS NULL or blank).</t>
        </is>
      </c>
      <c r="F18" s="22" t="inlineStr">
        <is>
          <t>-- Maverick count
SELECT COUNT(DISTINCT purchasing_document) FROM po_dump
WHERE (purchase_requisition IS NULL OR purchase_requisition = '')
  AND (deletion_indicator IS NULL OR deletion_indicator NOT IN ('L','X'))
-- Total count
SELECT COUNT(DISTINCT purchasing_document) FROM po_dump
WHERE (deletion_indicator IS NULL OR deletion_indicator NOT IN ('L','X'))
-- Rate = Maverick / Total × 100</t>
        </is>
      </c>
    </row>
    <row r="19" ht="40" customHeight="1">
      <c r="A19" s="23" t="n">
        <v>16</v>
      </c>
      <c r="B19" s="24" t="inlineStr">
        <is>
          <t>APPROVED_PR_TOTAL</t>
        </is>
      </c>
      <c r="C19" s="23" t="inlineStr">
        <is>
          <t>Total Active PRs</t>
        </is>
      </c>
      <c r="D19" s="25" t="inlineStr">
        <is>
          <t>count</t>
        </is>
      </c>
      <c r="E19" s="26" t="inlineStr">
        <is>
          <t>COUNT DISTINCT purchase_requisition where not deleted (deletion_indicator IS NULL or blank).</t>
        </is>
      </c>
      <c r="F19" s="27" t="inlineStr">
        <is>
          <t>SELECT COUNT(DISTINCT purchase_requisition) FROM pr_dump
WHERE (deletion_indicator IS NULL OR deletion_indicator = '')</t>
        </is>
      </c>
    </row>
    <row r="20" ht="40" customHeight="1">
      <c r="A20" s="4" t="n">
        <v>17</v>
      </c>
      <c r="B20" s="19" t="inlineStr">
        <is>
          <t>APPROVED_PR_APPROVED</t>
        </is>
      </c>
      <c r="C20" s="4" t="inlineStr">
        <is>
          <t>Approved PRs</t>
        </is>
      </c>
      <c r="D20" s="20" t="inlineStr">
        <is>
          <t>count</t>
        </is>
      </c>
      <c r="E20" s="21" t="inlineStr">
        <is>
          <t>COUNT DISTINCT purchase_requisition where not deleted AND release_status LIKE 'X%%'.</t>
        </is>
      </c>
      <c r="F20" s="22" t="inlineStr">
        <is>
          <t>SELECT COUNT(DISTINCT purchase_requisition) FROM pr_dump
WHERE (deletion_indicator IS NULL OR deletion_indicator = '')
  AND release_status LIKE 'X%'</t>
        </is>
      </c>
    </row>
    <row r="21" ht="40" customHeight="1">
      <c r="A21" s="23" t="n">
        <v>18</v>
      </c>
      <c r="B21" s="24" t="inlineStr">
        <is>
          <t>APPROVED_PO_TOTAL</t>
        </is>
      </c>
      <c r="C21" s="23" t="inlineStr">
        <is>
          <t>Total Active POs</t>
        </is>
      </c>
      <c r="D21" s="25" t="inlineStr">
        <is>
          <t>count</t>
        </is>
      </c>
      <c r="E21" s="26" t="inlineStr">
        <is>
          <t>COUNT DISTINCT purchasing_document where not deleted.</t>
        </is>
      </c>
      <c r="F21" s="27" t="inlineStr">
        <is>
          <t>SELECT COUNT(DISTINCT purchasing_document) FROM po_dump
WHERE (deletion_indicator IS NULL OR deletion_indicator NOT IN ('L','X'))</t>
        </is>
      </c>
    </row>
    <row r="22" ht="40" customHeight="1">
      <c r="A22" s="4" t="n">
        <v>19</v>
      </c>
      <c r="B22" s="19" t="inlineStr">
        <is>
          <t>APPROVED_PO_APPROVED</t>
        </is>
      </c>
      <c r="C22" s="4" t="inlineStr">
        <is>
          <t>Approved POs</t>
        </is>
      </c>
      <c r="D22" s="20" t="inlineStr">
        <is>
          <t>count</t>
        </is>
      </c>
      <c r="E22" s="21" t="inlineStr">
        <is>
          <t>COUNT DISTINCT POs where not deleted AND release_indicator LIKE 'X%%'.</t>
        </is>
      </c>
      <c r="F22" s="22" t="inlineStr">
        <is>
          <t>SELECT COUNT(DISTINCT purchasing_document) FROM po_dump
WHERE (deletion_indicator IS NULL OR deletion_indicator NOT IN ('L','X'))
  AND release_indicator LIKE 'X%'</t>
        </is>
      </c>
    </row>
    <row r="23" ht="40" customHeight="1">
      <c r="A23" s="23" t="n">
        <v>20</v>
      </c>
      <c r="B23" s="24" t="inlineStr">
        <is>
          <t>ACTIVE_VENDOR_COUNT_MTD</t>
        </is>
      </c>
      <c r="C23" s="23" t="inlineStr">
        <is>
          <t>Active Vendors (YTD)</t>
        </is>
      </c>
      <c r="D23" s="25" t="inlineStr">
        <is>
          <t>count</t>
        </is>
      </c>
      <c r="E23" s="26" t="inlineStr">
        <is>
          <t>COUNT DISTINCT vendor codes on active POs with document_date &gt;= FY start.</t>
        </is>
      </c>
      <c r="F23" s="27" t="inlineStr">
        <is>
          <t>SELECT COUNT(DISTINCT vendor) FROM po_dump
WHERE (deletion_indicator IS NULL OR deletion_indicator NOT IN ('L','X'))
  AND document_date &gt;= '{FY}'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8" customWidth="1" min="3" max="3"/>
    <col width="14" customWidth="1" min="4" max="4"/>
    <col width="42" customWidth="1" min="5" max="5"/>
    <col width="84" customWidth="1" min="6" max="6"/>
  </cols>
  <sheetData>
    <row r="1" ht="26" customHeight="1">
      <c r="A1" s="28" t="inlineStr">
        <is>
          <t>Financial Dashboard — KPI Reference</t>
        </is>
      </c>
    </row>
    <row r="2" ht="14" customHeight="1">
      <c r="A2" s="17" t="inlineStr">
        <is>
          <t>Source: backend/services/kpi_engine.py  |  Vars: {FY}=FY start (Apr 1), {MTD}=month start, {ref_date}=MAX(po_dump.document_date)</t>
        </is>
      </c>
    </row>
    <row r="3" ht="16" customHeight="1">
      <c r="A3" s="29" t="inlineStr">
        <is>
          <t>#</t>
        </is>
      </c>
      <c r="B3" s="29" t="inlineStr">
        <is>
          <t>KPI Code</t>
        </is>
      </c>
      <c r="C3" s="29" t="inlineStr">
        <is>
          <t>KPI Name</t>
        </is>
      </c>
      <c r="D3" s="29" t="inlineStr">
        <is>
          <t>Unit</t>
        </is>
      </c>
      <c r="E3" s="29" t="inlineStr">
        <is>
          <t>Formula / Description</t>
        </is>
      </c>
      <c r="F3" s="29" t="inlineStr">
        <is>
          <t>SQL Query</t>
        </is>
      </c>
    </row>
    <row r="4" ht="220" customHeight="1">
      <c r="A4" s="4" t="n">
        <v>1</v>
      </c>
      <c r="B4" s="30" t="inlineStr">
        <is>
          <t>TOTAL_SPEND_YTD</t>
        </is>
      </c>
      <c r="C4" s="4" t="inlineStr">
        <is>
          <t>Total Spend YTD (Invoices)</t>
        </is>
      </c>
      <c r="D4" s="20" t="inlineStr">
        <is>
          <t>INR</t>
        </is>
      </c>
      <c r="E4" s="21" t="inlineStr">
        <is>
          <t>SUM of signed invoice amounts (S=+1, H=-1) for types RE/KR/RN.
Excludes: cancelled invoices (reverse_invoice listed), reversal docs, net-zero vendor/invoice_ref groups.</t>
        </is>
      </c>
      <c r="F4" s="22" t="inlineStr">
        <is>
          <t>WITH cancelled AS (
    SELECT DISTINCT reverse_invoice AS doc FROM invoice_dump
    WHERE  reverse_invoice IS NOT NULL AND reverse_invoice != ''
),
net_nonzero AS (
    SELECT company_code || '|' || vendor || '|' || vendor_invoice_ref AS grp
    FROM   invoice_dump
    WHERE  vendor_invoice_ref IS NOT NULL AND vendor_invoice_ref != ''
    GROUP  BY company_code, vendor, vendor_invoice_ref
    HAVING ABS(SUM(CAST(amount_local_ccy AS REAL))) &gt; 0.005
)
SELECT SUM(
    CAST(amount_local_ccy AS REAL)
    * CASE WHEN debit_credit_ind = 'S' THEN 1.0 ELSE -1.0 END
)
FROM   invoice_dump
WHERE  document_type IN ('RE','KR','RN')
  AND  posting_date &gt;= '{FY}'
  AND  invoice_doc NOT IN (SELECT doc FROM cancelled)
  AND  (reverse_invoice IS NULL OR reverse_invoice = '')
  AND  (vendor_invoice_ref IS NULL OR vendor_invoice_ref = ''
        OR company_code || '|' || vendor || '|' || vendor_invoice_ref IN (SELECT grp FROM net_nonzero))</t>
        </is>
      </c>
    </row>
    <row r="5" ht="44" customHeight="1">
      <c r="A5" s="31" t="n">
        <v>2</v>
      </c>
      <c r="B5" s="32" t="inlineStr">
        <is>
          <t>INVOICE_CANCELLATION_RATE</t>
        </is>
      </c>
      <c r="C5" s="31" t="inlineStr">
        <is>
          <t>Invoice Cancellation Rate</t>
        </is>
      </c>
      <c r="D5" s="33" t="inlineStr">
        <is>
          <t>%%</t>
        </is>
      </c>
      <c r="E5" s="34" t="inlineStr">
        <is>
          <t>Formula: COUNT(DISTINCT invoice with type RN) / COUNT(DISTINCT all invoices) × 100
RN = reversal/cancellation document type in SAP.</t>
        </is>
      </c>
      <c r="F5" s="35" t="inlineStr">
        <is>
          <t>SELECT
    COUNT(DISTINCT CASE WHEN document_type = 'RN' THEN invoice_doc END) * 100.0
    / NULLIF(COUNT(DISTINCT invoice_doc), 0)
FROM invoice_dump</t>
        </is>
      </c>
    </row>
    <row r="6" ht="220" customHeight="1">
      <c r="A6" s="4" t="n">
        <v>3</v>
      </c>
      <c r="B6" s="30" t="inlineStr">
        <is>
          <t>THREE_WAY_MATCH_RATE</t>
        </is>
      </c>
      <c r="C6" s="4" t="inlineStr">
        <is>
          <t>3-Way Match Success Rate</t>
        </is>
      </c>
      <c r="D6" s="20" t="inlineStr">
        <is>
          <t>%%</t>
        </is>
      </c>
      <c r="E6" s="21" t="inlineStr">
        <is>
          <t>Formula: Matched_lines / Total_PO_lines_with_invoice × 100
Matched = PO+GRN+Invoice within 5%% tolerance.
Materials: qty-based. Services: amount-based.</t>
        </is>
      </c>
      <c r="F6" s="22" t="inlineStr">
        <is>
          <t>WITH po AS (
    SELECT company_code, purchasing_document, item,
           CAST(order_quantity  AS REAL) AS po_qty,
           CAST(net_order_value AS REAL) AS po_amt,
           CASE WHEN material_type IS NOT NULL AND material_type != ''
                THEN 'MATERIAL' ELSE 'SERVICE' END AS item_type
    FROM po_dump
    WHERE (deletion_indicator IS NULL OR deletion_indicator NOT IN ('L','X'))
),
grn AS (
    SELECT purchasing_document, item,
           SUM(CAST(quantity AS REAL)
               * CASE WHEN debit_credit_ind='S' THEN 1.0 ELSE -1.0 END) AS grn_qty,
           SUM(CAST(amount_local_ccy AS REAL)
               * CASE WHEN debit_credit_ind='S' THEN 1.0 ELSE -1.0 END) AS grn_amt
    FROM grn_dump GROUP BY purchasing_document, item
),
inv AS (
    SELECT purchasing_document, item,
           SUM(CAST(quantity AS REAL)
               * CASE WHEN debit_credit_ind='S' THEN 1.0 ELSE -1.0 END) AS inv_qty,
           SUM(CAST(amount_local_ccy AS REAL)
               * CASE WHEN debit_credit_ind='S' THEN 1.0 ELSE -1.0 END) AS inv_amt
    FROM po_invoice_dump GROUP BY purchasing_document, item
),
combined AS (
    SELECT po.item_type, po.po_qty, po.po_amt,
           COALESCE(grn.grn_qty,0) AS grn_qty, COALESCE(grn.grn_amt,0) AS grn_amt,
           COALESCE(inv.inv_qty,0) AS inv_qty, COALESCE(inv.inv_amt,0) AS inv_amt
    FROM po
    JOIN inv ON inv.purchasing_document=po.purchasing_document AND inv.item=po.item
    LEFT JOIN grn ON grn.purchasing_document=po.purchasing_document AND grn.item=po.item
)
SELECT
    COUNT(CASE
        WHEN item_type='MATERIAL'
         AND ABS(grn_qty-po_qty)/NULLIF(ABS(po_qty),0) &lt;= 0.05
         AND ABS(inv_qty-po_qty)/NULLIF(ABS(po_qty),0) &lt;= 0.05
         AND ABS(inv_qty-grn_qty)/NULLIF(ABS(grn_qty),0) &lt;= 0.05 THEN 1
        WHEN item_type='SERVICE'
         AND ABS(grn_amt-po_amt)/NULLIF(ABS(po_amt),0) &lt;= 0.05
         AND ABS(inv_amt-po_amt)/NULLIF(ABS(po_amt),0) &lt;= 0.05
         AND ABS(inv_amt-grn_amt)/NULLIF(ABS(grn_amt),0) &lt;= 0.05 THEN 1
    END) * 100.0 / NULLIF(COUNT(*),0)
FROM combined</t>
        </is>
      </c>
    </row>
    <row r="7" ht="220" customHeight="1">
      <c r="A7" s="31" t="n">
        <v>4</v>
      </c>
      <c r="B7" s="32" t="inlineStr">
        <is>
          <t>INVOICE_PROCESSING_DAYS</t>
        </is>
      </c>
      <c r="C7" s="31" t="inlineStr">
        <is>
          <t>Invoice Processing Time</t>
        </is>
      </c>
      <c r="D7" s="33" t="inlineStr">
        <is>
          <t>days</t>
        </is>
      </c>
      <c r="E7" s="34" t="inlineStr">
        <is>
          <t>AVG(clearing_date − vendor_invoice_date) in days.
Join payment_dump.cleared_invoice = invoice_dump.invoice_doc.
Excludes cancelled invoices and net-zero payment groups.</t>
        </is>
      </c>
      <c r="F7" s="35" t="inlineStr">
        <is>
          <t>WITH cancelled_inv AS (
    SELECT DISTINCT reverse_invoice AS doc FROM invoice_dump
    WHERE  reverse_invoice IS NOT NULL AND reverse_invoice != ''
),
valid_inv AS (
    SELECT company_code, vendor, invoice_doc, vendor_invoice_date
    FROM   invoice_dump
    WHERE  vendor_invoice_date IS NOT NULL
      AND  (reverse_invoice IS NULL OR reverse_invoice = '')
      AND  invoice_doc NOT IN (SELECT doc FROM cancelled_inv)
),
noncancelled_pay AS (
    SELECT company_code, vendor, payment_doc FROM payment_dump
    GROUP  BY company_code, vendor, payment_doc
    HAVING ABS(SUM(CAST(amount_local_ccy AS REAL)
                   * CASE WHEN debit_credit_ind='S' THEN 1.0 ELSE -1.0 END)) &gt; 0.005
),
valid_pay AS (
    SELECT pd.company_code, pd.vendor, pd.clearing_date, pd.cleared_invoice
    FROM   payment_dump pd
    JOIN   noncancelled_pay nc
      ON   nc.payment_doc=pd.payment_doc AND nc.company_code=pd.company_code
     AND   nc.vendor=pd.vendor
    WHERE  pd.debit_credit_ind = 'S'
)
SELECT AVG((vp.clearing_date::DATE - vi.vendor_invoice_date::DATE)::FLOAT)
FROM   valid_inv vi
JOIN   valid_pay vp
  ON   vp.cleared_invoice=vi.invoice_doc AND vp.company_code=vi.company_code
 AND   vp.vendor=vi.vendor
WHERE  vp.clearing_date IS NOT NULL</t>
        </is>
      </c>
    </row>
    <row r="8" ht="88" customHeight="1">
      <c r="A8" s="4" t="n">
        <v>5</v>
      </c>
      <c r="B8" s="30" t="inlineStr">
        <is>
          <t>ON_TIME_PAYMENT_RATE</t>
        </is>
      </c>
      <c r="C8" s="4" t="inlineStr">
        <is>
          <t>On-Time Payment Rate</t>
        </is>
      </c>
      <c r="D8" s="20" t="inlineStr">
        <is>
          <t>%%</t>
        </is>
      </c>
      <c r="E8" s="21" t="inlineStr">
        <is>
          <t>Formula: Payments where clearing_date &lt;= due_date / Total Payments × 100
due_date = baseline_date + payment_terms_days (pre-computed).
Excludes cancelled invoices and reversed payments.</t>
        </is>
      </c>
      <c r="F8" s="22" t="inlineStr">
        <is>
          <t>-- Uses same CTEs as INVOICE_PROCESSING_DAYS
SELECT COUNT(CASE WHEN vp.clearing_date::DATE &lt;= vi.due_date::DATE THEN 1 END) * 100.0
       / NULLIF(COUNT(*), 0)
FROM   valid_inv vi
JOIN   valid_pay vp
  ON   vp.cleared_invoice=vi.invoice_doc AND vp.company_code=vi.company_code
 AND   vp.vendor=vi.vendor
WHERE  vp.clearing_date IS NOT NULL</t>
        </is>
      </c>
    </row>
    <row r="9" ht="220" customHeight="1">
      <c r="A9" s="31" t="n">
        <v>6</v>
      </c>
      <c r="B9" s="32" t="inlineStr">
        <is>
          <t>OPEN_INVOICE_VALUE</t>
        </is>
      </c>
      <c r="C9" s="31" t="inlineStr">
        <is>
          <t>Open Invoice Aging</t>
        </is>
      </c>
      <c r="D9" s="33" t="inlineStr">
        <is>
          <t>INR by bucket</t>
        </is>
      </c>
      <c r="E9" s="34" t="inlineStr">
        <is>
          <t>Total value of unpaid invoices (clearing_doc IS NULL) broken into aging buckets.
Buckets: not_yet_due | 0-10d | 10-20d | 20-30d | 30-60d | 60-90d | 90+d
Doc types: RE, KR. Cancelled/reversed excluded.</t>
        </is>
      </c>
      <c r="F9" s="35" t="inlineStr">
        <is>
          <t>WITH open_inv AS (
    SELECT
        CAST(amount_local_ccy AS REAL)
            * CASE WHEN debit_credit_ind='S' THEN 1.0 ELSE -1.0 END AS signed_amt,
        (CURRENT_DATE - due_date::DATE) AS days_overdue
    FROM invoice_dump
    WHERE (clearing_doc IS NULL OR clearing_doc = '')
      AND document_type IN ('RE','KR')
      AND due_date IS NOT NULL AND due_date != ''
      AND (reverse_invoice IS NULL OR reverse_invoice = '')
      AND invoice_doc NOT IN (
          SELECT DISTINCT reverse_invoice FROM invoice_dump
          WHERE reverse_invoice IS NOT NULL AND reverse_invoice != ''
      )
)
SELECT
    SUM(CASE WHEN days_overdue &lt;  0              THEN signed_amt ELSE 0 END) AS not_yet_due,
    SUM(CASE WHEN days_overdue BETWEEN  0 AND  9 THEN signed_amt ELSE 0 END) AS d0_10,
    SUM(CASE WHEN days_overdue BETWEEN 10 AND 19 THEN signed_amt ELSE 0 END) AS d10_20,
    SUM(CASE WHEN days_overdue BETWEEN 20 AND 29 THEN signed_amt ELSE 0 END) AS d20_30,
    SUM(CASE WHEN days_overdue BETWEEN 30 AND 59 THEN signed_amt ELSE 0 END) AS d30_60,
    SUM(CASE WHEN days_overdue BETWEEN 60 AND 89 THEN signed_amt ELSE 0 END) AS d60_90,
    SUM(CASE WHEN days_overdue &gt;= 90             THEN signed_amt ELSE 0 END) AS d90plus,
    SUM(signed_amt) AS total
FROM open_inv</t>
        </is>
      </c>
    </row>
    <row r="10" ht="165" customHeight="1">
      <c r="A10" s="4" t="n">
        <v>7</v>
      </c>
      <c r="B10" s="30" t="inlineStr">
        <is>
          <t>PAYMENT_TIMING_SUMMARY</t>
        </is>
      </c>
      <c r="C10" s="4" t="inlineStr">
        <is>
          <t>Payment Timing Summary</t>
        </is>
      </c>
      <c r="D10" s="20" t="inlineStr">
        <is>
          <t>count+days</t>
        </is>
      </c>
      <c r="E10" s="21" t="inlineStr">
        <is>
          <t>Count of Early/On-Time/Late payments + avg days early/late.
Early: clearing &lt; due | On-Time: clearing = due | Late: clearing &gt; due.</t>
        </is>
      </c>
      <c r="F10" s="22" t="inlineStr">
        <is>
          <t>-- Uses CTEs cancelled_inv, valid_inv (with due_date), noncancelled_pay, valid_pay
SELECT
    COUNT(CASE WHEN day_diff &lt;  0 THEN 1 END) AS early,
    COUNT(CASE WHEN day_diff =  0 THEN 1 END) AS on_time,
    COUNT(CASE WHEN day_diff &gt;  0 THEN 1 END) AS late,
    AVG(CASE WHEN day_diff &lt;  0 THEN ABS(day_diff) END) AS avg_days_early,
    AVG(CASE WHEN day_diff &gt;  0 THEN day_diff      END) AS avg_days_late,
    COUNT(*) AS total
FROM (
    SELECT (vp.clearing_date::DATE - vi.due_date::DATE) AS day_diff
    FROM valid_inv vi JOIN valid_pay vp
      ON vp.cleared_invoice=vi.invoice_doc AND vp.company_code=vi.company_code
     AND vp.vendor=vi.vendor
    WHERE vp.clearing_date IS NOT NULL AND vi.due_date IS NOT NULL
) t</t>
        </is>
      </c>
    </row>
    <row r="11" ht="40" customHeight="1">
      <c r="A11" s="31" t="n">
        <v>8</v>
      </c>
      <c r="B11" s="32" t="inlineStr">
        <is>
          <t>TOTAL_PAYMENTS_YTD</t>
        </is>
      </c>
      <c r="C11" s="31" t="inlineStr">
        <is>
          <t>Total Payments (YTD)</t>
        </is>
      </c>
      <c r="D11" s="33" t="inlineStr">
        <is>
          <t>INR</t>
        </is>
      </c>
      <c r="E11" s="34" t="inlineStr">
        <is>
          <t>SUM(amount_local_ccy) from payment_dump where posting_date &gt;= FY start.</t>
        </is>
      </c>
      <c r="F11" s="35" t="inlineStr">
        <is>
          <t>SELECT SUM(CAST(amount_local_ccy AS REAL))
FROM payment_dump
WHERE posting_date &gt;= '{FY}'</t>
        </is>
      </c>
    </row>
    <row r="12" ht="40" customHeight="1">
      <c r="A12" s="4" t="n">
        <v>9</v>
      </c>
      <c r="B12" s="30" t="inlineStr">
        <is>
          <t>PAYMENT_TO_PO_RATIO</t>
        </is>
      </c>
      <c r="C12" s="4" t="inlineStr">
        <is>
          <t>Payment-to-PO Ratio</t>
        </is>
      </c>
      <c r="D12" s="20" t="inlineStr">
        <is>
          <t>%%</t>
        </is>
      </c>
      <c r="E12" s="21" t="inlineStr">
        <is>
          <t>Formula: Total_Payments_YTD / Total_PO_Value_YTD × 100
Measures % of YTD PO value paid.</t>
        </is>
      </c>
      <c r="F12" s="22">
        <f> SUM(payment_dump.amount_local_ccy WHERE posting_date&gt;=FY)
  / SUM(po_dump.net_order_value WHERE doc_date&gt;=FY AND not_deleted)
  × 100</f>
        <v/>
      </c>
    </row>
    <row r="13" ht="55" customHeight="1">
      <c r="A13" s="31" t="n">
        <v>10</v>
      </c>
      <c r="B13" s="32" t="inlineStr">
        <is>
          <t>APPROVED_PR_COUNT</t>
        </is>
      </c>
      <c r="C13" s="31" t="inlineStr">
        <is>
          <t>Approved PR Count (YTD)</t>
        </is>
      </c>
      <c r="D13" s="33" t="inlineStr">
        <is>
          <t>count</t>
        </is>
      </c>
      <c r="E13" s="34" t="inlineStr">
        <is>
          <t>COUNT DISTINCT PR line items (PR||'|'||item) where release_status IN (X/XX/XXX/XXXX/XXXXX) and release_date &gt;= FY.</t>
        </is>
      </c>
      <c r="F13" s="35" t="inlineStr">
        <is>
          <t>SELECT COUNT(DISTINCT purchase_requisition || '|' || item_of_requisition)
FROM pr_dump
WHERE release_status IN ('X','XX','XXX','XXXX','XXXXX')
  AND (deletion_indicator IS NULL OR deletion_indicator = '')
  AND release_date &gt;= '{FY}'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8" customWidth="1" min="3" max="3"/>
    <col width="14" customWidth="1" min="4" max="4"/>
    <col width="42" customWidth="1" min="5" max="5"/>
    <col width="84" customWidth="1" min="6" max="6"/>
  </cols>
  <sheetData>
    <row r="1" ht="26" customHeight="1">
      <c r="A1" s="36" t="inlineStr">
        <is>
          <t>Leadership Dashboard — KPI Reference</t>
        </is>
      </c>
    </row>
    <row r="2" ht="14" customHeight="1">
      <c r="A2" s="17" t="inlineStr">
        <is>
          <t>Source: backend/services/kpi_engine.py  |  Vars: {FY}=FY start (Apr 1), {MTD}=month start, {ref_date}=MAX(po_dump.document_date)</t>
        </is>
      </c>
    </row>
    <row r="3" ht="16" customHeight="1">
      <c r="A3" s="37" t="inlineStr">
        <is>
          <t>#</t>
        </is>
      </c>
      <c r="B3" s="37" t="inlineStr">
        <is>
          <t>KPI Code</t>
        </is>
      </c>
      <c r="C3" s="37" t="inlineStr">
        <is>
          <t>KPI Name</t>
        </is>
      </c>
      <c r="D3" s="37" t="inlineStr">
        <is>
          <t>Unit</t>
        </is>
      </c>
      <c r="E3" s="37" t="inlineStr">
        <is>
          <t>Formula / Description</t>
        </is>
      </c>
      <c r="F3" s="37" t="inlineStr">
        <is>
          <t>SQL Query</t>
        </is>
      </c>
    </row>
    <row r="4" ht="55" customHeight="1">
      <c r="A4" s="4" t="n">
        <v>1</v>
      </c>
      <c r="B4" s="38" t="inlineStr">
        <is>
          <t>TOTAL_SPEND_YTD</t>
        </is>
      </c>
      <c r="C4" s="4" t="inlineStr">
        <is>
          <t>Total Procurement Value (YTD)</t>
        </is>
      </c>
      <c r="D4" s="20" t="inlineStr">
        <is>
          <t>INR</t>
        </is>
      </c>
      <c r="E4" s="21" t="inlineStr">
        <is>
          <t>SUM(net_order_value) for POs created in FY where deletion_indicator &lt;&gt; 'L'.
Note: uses &lt;&gt; 'L' only (not also X) — includes POs cancelled but not item-deleted.
Date: created_on &gt;= FY AND created_on &lt;= CURRENT_DATE.</t>
        </is>
      </c>
      <c r="F4" s="22" t="inlineStr">
        <is>
          <t>SELECT SUM(CAST(net_order_value AS REAL))
FROM po_dump
WHERE (deletion_indicator IS NULL OR deletion_indicator &lt;&gt; 'L')
  AND created_on &gt;= '{FY}'
  AND created_on &lt;= CURRENT_DATE::TEXT</t>
        </is>
      </c>
    </row>
    <row r="5" ht="44" customHeight="1">
      <c r="A5" s="39" t="n">
        <v>2</v>
      </c>
      <c r="B5" s="40" t="inlineStr">
        <is>
          <t>TOTAL_PO_COUNT_YTD</t>
        </is>
      </c>
      <c r="C5" s="39" t="inlineStr">
        <is>
          <t>Total PO Count (YTD)</t>
        </is>
      </c>
      <c r="D5" s="41" t="inlineStr">
        <is>
          <t>count</t>
        </is>
      </c>
      <c r="E5" s="42" t="inlineStr">
        <is>
          <t>COUNT DISTINCT purchasing_document for YTD (same filter as TOTAL_SPEND_YTD).
value_text JSON has released_count and non_released_count breakdown.</t>
        </is>
      </c>
      <c r="F5" s="43" t="inlineStr">
        <is>
          <t>SELECT COUNT(DISTINCT purchasing_document)
FROM po_dump
WHERE (deletion_indicator IS NULL OR deletion_indicator &lt;&gt; 'L')
  AND created_on &gt;= '{FY}'</t>
        </is>
      </c>
    </row>
    <row r="6" ht="44" customHeight="1">
      <c r="A6" s="4" t="n">
        <v>3</v>
      </c>
      <c r="B6" s="38" t="inlineStr">
        <is>
          <t>GRN_COUNT_YTD</t>
        </is>
      </c>
      <c r="C6" s="4" t="inlineStr">
        <is>
          <t>GRN Count (YTD)</t>
        </is>
      </c>
      <c r="D6" s="20" t="inlineStr">
        <is>
          <t>count</t>
        </is>
      </c>
      <c r="E6" s="21" t="inlineStr">
        <is>
          <t>COUNT DISTINCT material_document for movement_type='101' GRNs (goods receipts) posted in FY.</t>
        </is>
      </c>
      <c r="F6" s="22" t="inlineStr">
        <is>
          <t>SELECT COUNT(DISTINCT material_document)
FROM grn_dump
WHERE movement_type = '101'
  AND posting_date &gt;= '{FY}'</t>
        </is>
      </c>
    </row>
    <row r="7" ht="44" customHeight="1">
      <c r="A7" s="39" t="n">
        <v>4</v>
      </c>
      <c r="B7" s="40" t="inlineStr">
        <is>
          <t>GRN_VALUE_YTD</t>
        </is>
      </c>
      <c r="C7" s="39" t="inlineStr">
        <is>
          <t>GRN Value (YTD)</t>
        </is>
      </c>
      <c r="D7" s="41" t="inlineStr">
        <is>
          <t>INR</t>
        </is>
      </c>
      <c r="E7" s="42" t="inlineStr">
        <is>
          <t>SUM(amount_local_ccy × dc_sign) for movement_type='101' GRNs.
dc_sign = +1 for S, -1 for H.</t>
        </is>
      </c>
      <c r="F7" s="43" t="inlineStr">
        <is>
          <t>SELECT SUM(CAST(amount_local_ccy AS REAL)
           * CASE WHEN debit_credit_ind='S' THEN 1.0 ELSE -1.0 END)
FROM grn_dump
WHERE movement_type = '101' AND posting_date &gt;= '{FY}'</t>
        </is>
      </c>
    </row>
    <row r="8" ht="99" customHeight="1">
      <c r="A8" s="4" t="n">
        <v>5</v>
      </c>
      <c r="B8" s="38" t="inlineStr">
        <is>
          <t>INVOICE_COUNT_YTD</t>
        </is>
      </c>
      <c r="C8" s="4" t="inlineStr">
        <is>
          <t>Invoice Count (YTD)</t>
        </is>
      </c>
      <c r="D8" s="20" t="inlineStr">
        <is>
          <t>count</t>
        </is>
      </c>
      <c r="E8" s="21" t="inlineStr">
        <is>
          <t>COUNT DISTINCT invoice_doc for document_type IN (RE,KR) posted in FY.
Excludes: cancelled (reverse_invoice listed) and reversal docs.</t>
        </is>
      </c>
      <c r="F8" s="22" t="inlineStr">
        <is>
          <t>WITH cancelled AS (
    SELECT DISTINCT reverse_invoice AS doc FROM invoice_dump
    WHERE  reverse_invoice IS NOT NULL AND reverse_invoice != ''
)
SELECT COUNT(DISTINCT invoice_doc)
FROM invoice_dump
WHERE document_type IN ('RE','KR') AND posting_date &gt;= '{FY}'
  AND invoice_doc NOT IN (SELECT doc FROM cancelled)
  AND (reverse_invoice IS NULL OR reverse_invoice = '')</t>
        </is>
      </c>
    </row>
    <row r="9" ht="40" customHeight="1">
      <c r="A9" s="39" t="n">
        <v>6</v>
      </c>
      <c r="B9" s="40" t="inlineStr">
        <is>
          <t>INVOICE_VALUE_YTD</t>
        </is>
      </c>
      <c r="C9" s="39" t="inlineStr">
        <is>
          <t>Invoice Value (YTD)</t>
        </is>
      </c>
      <c r="D9" s="41" t="inlineStr">
        <is>
          <t>INR</t>
        </is>
      </c>
      <c r="E9" s="42" t="inlineStr">
        <is>
          <t>SUM(amount × dc_sign) for valid RE/KR invoices in FY. Same cancellation exclusions as INVOICE_COUNT_YTD.</t>
        </is>
      </c>
      <c r="F9" s="43">
        <f> SUM(amount_local_ccy × CASE WHEN debit_credit_ind='S' THEN 1 ELSE -1 END)
  [same WHERE as INVOICE_COUNT_YTD]</f>
        <v/>
      </c>
    </row>
    <row r="10" ht="44" customHeight="1">
      <c r="A10" s="4" t="n">
        <v>7</v>
      </c>
      <c r="B10" s="38" t="inlineStr">
        <is>
          <t>MAVERICK_BUY_RATE</t>
        </is>
      </c>
      <c r="C10" s="4" t="inlineStr">
        <is>
          <t>Maverick PO Rate</t>
        </is>
      </c>
      <c r="D10" s="20" t="inlineStr">
        <is>
          <t>%%</t>
        </is>
      </c>
      <c r="E10" s="21" t="inlineStr">
        <is>
          <t>Formula: PO lines with is_maverick=1 / Total PO lines × 100.
is_maverick pre-computed in pr_po_grn_invoice: = 1 when purchase_requisition IS NULL.</t>
        </is>
      </c>
      <c r="F10" s="22" t="inlineStr">
        <is>
          <t>SELECT COUNT(CASE WHEN is_maverick = 1 THEN 1 END) * 100.0
       / NULLIF(COUNT(*), 0)
FROM pr_po_grn_invoice
WHERE purchasing_document IS NOT NULL</t>
        </is>
      </c>
    </row>
    <row r="11" ht="40" customHeight="1">
      <c r="A11" s="39" t="n">
        <v>8</v>
      </c>
      <c r="B11" s="40" t="inlineStr">
        <is>
          <t>E2E_CYCLE_TIME</t>
        </is>
      </c>
      <c r="C11" s="39" t="inlineStr">
        <is>
          <t>End-to-End P2P Cycle</t>
        </is>
      </c>
      <c r="D11" s="41" t="inlineStr">
        <is>
          <t>days</t>
        </is>
      </c>
      <c r="E11" s="42" t="inlineStr">
        <is>
          <t>AVG(total_cycle_days) from pr_po_grn_invoice fact table.
total_cycle_days = Invoice_posting_date − PR_created_on (pre-computed during ETL).</t>
        </is>
      </c>
      <c r="F11" s="43" t="inlineStr">
        <is>
          <t>SELECT AVG(CAST(total_cycle_days AS REAL))
FROM pr_po_grn_invoice
WHERE total_cycle_days IS NOT NULL AND total_cycle_days &gt; 0</t>
        </is>
      </c>
    </row>
    <row r="12" ht="110" customHeight="1">
      <c r="A12" s="4" t="n">
        <v>9</v>
      </c>
      <c r="B12" s="38" t="inlineStr">
        <is>
          <t>VENDOR_CONCENTRATION</t>
        </is>
      </c>
      <c r="C12" s="4" t="inlineStr">
        <is>
          <t>Top-3 Vendor Spend Concentration</t>
        </is>
      </c>
      <c r="D12" s="20" t="inlineStr">
        <is>
          <t>%%</t>
        </is>
      </c>
      <c r="E12" s="21" t="inlineStr">
        <is>
          <t>Formula: SUM(spend of top-3 vendors by spend) / Total_spend × 100.
value_text JSON has full top-10 vendor list with individual % share.</t>
        </is>
      </c>
      <c r="F12" s="22" t="inlineStr">
        <is>
          <t>-- Top 10 vendors by spend
SELECT po.vendor,
       COALESCE(MIN(vm.vendor_name), MIN(po.vendor_name), po.vendor) AS name,
       SUM(CAST(po.net_order_value AS REAL)) AS spend
FROM po_dump po
LEFT JOIN vendor_master vm ON po.vendor=vm.vendor
WHERE (po.deletion_indicator IS NULL OR po.deletion_indicator &lt;&gt; 'L')
GROUP BY po.vendor ORDER BY spend DESC LIMIT 10
-- Concentration = SUM(spend[rank 1-3]) / SUM(all vendor spend) × 100</t>
        </is>
      </c>
    </row>
    <row r="13" ht="99" customHeight="1">
      <c r="A13" s="39" t="n">
        <v>10</v>
      </c>
      <c r="B13" s="40" t="inlineStr">
        <is>
          <t>SINGLE_SOURCE_COUNT</t>
        </is>
      </c>
      <c r="C13" s="39" t="inlineStr">
        <is>
          <t>Single Source Count/Value</t>
        </is>
      </c>
      <c r="D13" s="41" t="inlineStr">
        <is>
          <t>count+INR</t>
        </is>
      </c>
      <c r="E13" s="42" t="inlineStr">
        <is>
          <t>COUNT of (company_code, material_description) pairs supplied by exactly 1 distinct vendor.
Also sums total_value for those pairs. Indicates supply dependency risk.</t>
        </is>
      </c>
      <c r="F13" s="43" t="inlineStr">
        <is>
          <t>SELECT COUNT(*), SUM(total_value) FROM (
    SELECT company_code, material_description,
           SUM(CAST(net_order_value AS REAL)) AS total_value
    FROM po_dump
    WHERE (deletion_indicator IS NULL OR deletion_indicator &lt;&gt; 'L')
      AND material_description IS NOT NULL AND material_description != ''
    GROUP BY company_code, material_description
    HAVING COUNT(DISTINCT vendor) = 1
)</t>
        </is>
      </c>
    </row>
    <row r="14" ht="66" customHeight="1">
      <c r="A14" s="4" t="n">
        <v>11</v>
      </c>
      <c r="B14" s="38" t="inlineStr">
        <is>
          <t>NEGOTIATION_SAVINGS</t>
        </is>
      </c>
      <c r="C14" s="4" t="inlineStr">
        <is>
          <t>Negotiation Savings YTD</t>
        </is>
      </c>
      <c r="D14" s="20" t="inlineStr">
        <is>
          <t>INR</t>
        </is>
      </c>
      <c r="E14" s="21" t="inlineStr">
        <is>
          <t>Formula: SUM((pr_valuation_price − po_net_price) × po_quantity) where savings &gt; 0.
Captures price reduction PR→PO. Positive only (no overrun inclusion).</t>
        </is>
      </c>
      <c r="F14" s="22" t="inlineStr">
        <is>
          <t>SELECT SUM((CAST(f.pr_value AS REAL) - CAST(f.po_net_price AS REAL))
               * CAST(f.po_quantity AS REAL))
FROM pr_po_grn_invoice f
WHERE f.pr_value     IS NOT NULL
  AND f.po_net_price IS NOT NULL
  AND (CAST(f.pr_value AS REAL) - CAST(f.po_net_price AS REAL)) &gt; 0</t>
        </is>
      </c>
    </row>
    <row r="15" ht="55" customHeight="1">
      <c r="A15" s="39" t="n">
        <v>12</v>
      </c>
      <c r="B15" s="40" t="inlineStr">
        <is>
          <t>SUPPLY_RISK_SCORE</t>
        </is>
      </c>
      <c r="C15" s="39" t="inlineStr">
        <is>
          <t>Supply Chain Risk Score</t>
        </is>
      </c>
      <c r="D15" s="41" t="inlineStr">
        <is>
          <t>0-100</t>
        </is>
      </c>
      <c r="E15" s="42" t="inlineStr">
        <is>
          <t>Weighted composite index:
  = 0.4 × Vendor_Concentration_%
  + 0.3 × Maverick_Rate_%
  + 0.3 × Anomaly_Rate_%
Anomaly_Rate = events with anomaly_count &gt; 0 / total_events × 100.</t>
        </is>
      </c>
      <c r="F15" s="43">
        <f> 0.4 × VENDOR_CONCENTRATION
+ 0.3 × MAVERICK_BUY_RATE
+ 0.3 × (process_mining_events.anomaly_count &gt; 0 / total_events × 100)</f>
        <v/>
      </c>
    </row>
    <row r="16" ht="77" customHeight="1">
      <c r="A16" s="4" t="n">
        <v>13</v>
      </c>
      <c r="B16" s="38" t="inlineStr">
        <is>
          <t>SOD_PO_CREATE_RELEASE</t>
        </is>
      </c>
      <c r="C16" s="4" t="inlineStr">
        <is>
          <t>SOD: PO Create vs Release</t>
        </is>
      </c>
      <c r="D16" s="20" t="inlineStr">
        <is>
          <t>count</t>
        </is>
      </c>
      <c r="E16" s="21" t="inlineStr">
        <is>
          <t>Segregation of Duties: same user created PO AND released it.
Join change_log on FRGZU='X' set by same user as po.created_by.</t>
        </is>
      </c>
      <c r="F16" s="22" t="inlineStr">
        <is>
          <t>SELECT COUNT(DISTINCT po.purchasing_document)
FROM po_dump po
JOIN change_log cl ON cl.object_id = po.purchasing_document
WHERE cl.object_class = 'EINKBELEG' AND cl.table_name = 'EKKO'
  AND cl.field_name = 'FRGZU' AND cl.change_indicator IN ('E','U')
  AND cl.new_value = 'X' AND cl.username = po.created_by
  AND (po.deletion_indicator IS NULL OR po.deletion_indicator = '')</t>
        </is>
      </c>
    </row>
    <row r="17" ht="66" customHeight="1">
      <c r="A17" s="39" t="n">
        <v>14</v>
      </c>
      <c r="B17" s="40" t="inlineStr">
        <is>
          <t>SOD_PO_GRN</t>
        </is>
      </c>
      <c r="C17" s="39" t="inlineStr">
        <is>
          <t>SOD: PO Creation vs GRN</t>
        </is>
      </c>
      <c r="D17" s="41" t="inlineStr">
        <is>
          <t>count</t>
        </is>
      </c>
      <c r="E17" s="42" t="inlineStr">
        <is>
          <t>SOD conflict: same user created PO AND posted GRN (grn.created_by = po.created_by).</t>
        </is>
      </c>
      <c r="F17" s="43" t="inlineStr">
        <is>
          <t>SELECT COUNT(DISTINCT po.purchasing_document || '|' || po.item)
FROM po_dump po
JOIN grn_dump grn ON grn.purchasing_document=po.purchasing_document AND grn.item=po.item
WHERE po.created_by = grn.created_by
  AND (po.deletion_indicator IS NULL OR po.deletion_indicator = '')
  AND grn.debit_credit_ind = 'S'</t>
        </is>
      </c>
    </row>
    <row r="18" ht="55" customHeight="1">
      <c r="A18" s="4" t="n">
        <v>15</v>
      </c>
      <c r="B18" s="38" t="inlineStr">
        <is>
          <t>SOD_GRN_INVOICE</t>
        </is>
      </c>
      <c r="C18" s="4" t="inlineStr">
        <is>
          <t>SOD: GRN vs Invoice</t>
        </is>
      </c>
      <c r="D18" s="20" t="inlineStr">
        <is>
          <t>count</t>
        </is>
      </c>
      <c r="E18" s="21" t="inlineStr">
        <is>
          <t>SOD conflict: same user posted GRN AND created invoice for same PO line.</t>
        </is>
      </c>
      <c r="F18" s="22" t="inlineStr">
        <is>
          <t>SELECT COUNT(DISTINCT grn.material_document)
FROM grn_dump grn
JOIN po_invoice_dump inv ON inv.purchasing_document=grn.purchasing_document AND inv.item=grn.item
WHERE grn.created_by = inv.created_by
  AND grn.debit_credit_ind = 'S' AND inv.debit_credit_ind = 'S'</t>
        </is>
      </c>
    </row>
    <row r="19" ht="88" customHeight="1">
      <c r="A19" s="39" t="n">
        <v>16</v>
      </c>
      <c r="B19" s="40" t="inlineStr">
        <is>
          <t>SOD_INVOICE_PAYMENT</t>
        </is>
      </c>
      <c r="C19" s="39" t="inlineStr">
        <is>
          <t>SOD: Invoice vs Payment</t>
        </is>
      </c>
      <c r="D19" s="41" t="inlineStr">
        <is>
          <t>count</t>
        </is>
      </c>
      <c r="E19" s="42" t="inlineStr">
        <is>
          <t>SOD conflict: same user created invoice AND processed payment for same invoice doc.</t>
        </is>
      </c>
      <c r="F19" s="43" t="inlineStr">
        <is>
          <t>SELECT COUNT(DISTINCT i.invoice_doc)
FROM invoice_dump i
JOIN payment_dump p ON p.company_code=i.company_code AND p.vendor=i.vendor
  AND p.cleared_invoice=i.invoice_doc
WHERE i.created_by = p.created_by
  AND i.document_type IN ('RE','KR')
  AND (i.reverse_invoice IS NULL OR i.reverse_invoice = '')
  AND p.debit_credit_ind = 'S'</t>
        </is>
      </c>
    </row>
    <row r="20" ht="44" customHeight="1">
      <c r="A20" s="4" t="n">
        <v>17</v>
      </c>
      <c r="B20" s="38" t="inlineStr">
        <is>
          <t>SOD_CONFLICT_COUNT</t>
        </is>
      </c>
      <c r="C20" s="4" t="inlineStr">
        <is>
          <t>SOD Conflict Count (All)</t>
        </is>
      </c>
      <c r="D20" s="20" t="inlineStr">
        <is>
          <t>count</t>
        </is>
      </c>
      <c r="E20" s="21" t="inlineStr">
        <is>
          <t>Sum of all 4 SOD conflict types.</t>
        </is>
      </c>
      <c r="F20" s="22">
        <f> SOD_PO_CREATE_RELEASE
+ SOD_PO_GRN
+ SOD_GRN_INVOICE
+ SOD_INVOICE_PAYMENT</f>
        <v/>
      </c>
    </row>
    <row r="21" ht="99" customHeight="1">
      <c r="A21" s="39" t="n">
        <v>18</v>
      </c>
      <c r="B21" s="40" t="inlineStr">
        <is>
          <t>PO_GRN_CONVERSION_RATE</t>
        </is>
      </c>
      <c r="C21" s="39" t="inlineStr">
        <is>
          <t>PO→GRN Conversion Rate</t>
        </is>
      </c>
      <c r="D21" s="41" t="inlineStr">
        <is>
          <t>%%</t>
        </is>
      </c>
      <c r="E21" s="42" t="inlineStr">
        <is>
          <t>Formula: PO lines with GRN / Total PO lines × 100.
grn_posting_date IS NOT NULL in pr_po_grn_invoice = has GRN.</t>
        </is>
      </c>
      <c r="F21" s="43" t="inlineStr">
        <is>
          <t>-- PO lines with GRN
SELECT COUNT(DISTINCT purchasing_document || '|' || item)
FROM pr_po_grn_invoice WHERE purchasing_document IS NOT NULL AND grn_posting_date IS NOT NULL
-- Total PO lines
SELECT COUNT(DISTINCT purchasing_document || '|' || item)
FROM pr_po_grn_invoice WHERE purchasing_document IS NOT NULL
-- Rate = with_GRN / total × 100</t>
        </is>
      </c>
    </row>
    <row r="22" ht="143" customHeight="1">
      <c r="A22" s="4" t="n">
        <v>19</v>
      </c>
      <c r="B22" s="38" t="inlineStr">
        <is>
          <t>DUPLICATE_INVOICE_COUNT</t>
        </is>
      </c>
      <c r="C22" s="4" t="inlineStr">
        <is>
          <t>Duplicate Invoice Count</t>
        </is>
      </c>
      <c r="D22" s="20" t="inlineStr">
        <is>
          <t>count</t>
        </is>
      </c>
      <c r="E22" s="21" t="inlineStr">
        <is>
          <t>SUM(count−1) for invoice groups sharing: company_code, vendor_invoice_ref, amount, vendor, posting_date.
Excludes cancelled invoices.</t>
        </is>
      </c>
      <c r="F22" s="22" t="inlineStr">
        <is>
          <t>SELECT SUM(cnt - 1) FROM (
    SELECT COUNT(DISTINCT invoice_doc) AS cnt
    FROM invoice_dump
    WHERE document_type IN ('RE','KR')
      AND (reverse_invoice IS NULL OR reverse_invoice = '')
      AND invoice_doc NOT IN (
          SELECT DISTINCT reverse_invoice FROM invoice_dump
          WHERE reverse_invoice IS NOT NULL AND reverse_invoice != ''
      )
    GROUP BY company_code, vendor_invoice_ref,
             CAST(amount_local_ccy AS REAL), vendor, posting_date
    HAVING COUNT(DISTINCT invoice_doc) &gt; 1
)</t>
        </is>
      </c>
    </row>
    <row r="23" ht="88" customHeight="1">
      <c r="A23" s="39" t="n">
        <v>20</v>
      </c>
      <c r="B23" s="40" t="inlineStr">
        <is>
          <t>DUPLICATE_PO_COUNT</t>
        </is>
      </c>
      <c r="C23" s="39" t="inlineStr">
        <is>
          <t>Duplicate PO Count</t>
        </is>
      </c>
      <c r="D23" s="41" t="inlineStr">
        <is>
          <t>count</t>
        </is>
      </c>
      <c r="E23" s="42" t="inlineStr">
        <is>
          <t>SUM(count−1) for PO groups sharing: company_code, material_group, vendor, net_order_value, order_quantity, document_date.</t>
        </is>
      </c>
      <c r="F23" s="43" t="inlineStr">
        <is>
          <t>SELECT SUM(cnt - 1) FROM (
    SELECT COUNT(DISTINCT purchasing_document) AS cnt
    FROM po_dump
    WHERE (deletion_indicator IS NULL OR deletion_indicator NOT IN ('L','X'))
    GROUP BY company_code, material_group, vendor,
             CAST(net_order_value AS REAL), CAST(order_quantity AS REAL), document_date
    HAVING COUNT(DISTINCT purchasing_document) &gt; 1
)</t>
        </is>
      </c>
    </row>
    <row r="24" ht="40" customHeight="1">
      <c r="A24" s="4" t="n">
        <v>21</v>
      </c>
      <c r="B24" s="38" t="inlineStr">
        <is>
          <t>ONE_TIME_VENDOR_COUNT</t>
        </is>
      </c>
      <c r="C24" s="4" t="inlineStr">
        <is>
          <t>One-Time Vendor Count</t>
        </is>
      </c>
      <c r="D24" s="20" t="inlineStr">
        <is>
          <t>count</t>
        </is>
      </c>
      <c r="E24" s="21" t="inlineStr">
        <is>
          <t>COUNT vendor_master records where UPPER(vendor_type) = 'ONE_TIME'.</t>
        </is>
      </c>
      <c r="F24" s="22" t="inlineStr">
        <is>
          <t>SELECT COUNT(*) FROM vendor_master
WHERE UPPER(vendor_type) = 'ONE_TIME'</t>
        </is>
      </c>
    </row>
    <row r="25" ht="40" customHeight="1">
      <c r="A25" s="39" t="n">
        <v>22</v>
      </c>
      <c r="B25" s="40" t="inlineStr">
        <is>
          <t>PO_NO_CONTRACT_COUNT</t>
        </is>
      </c>
      <c r="C25" s="39" t="inlineStr">
        <is>
          <t>PO Lines without Contract</t>
        </is>
      </c>
      <c r="D25" s="41" t="inlineStr">
        <is>
          <t>count</t>
        </is>
      </c>
      <c r="E25" s="42" t="inlineStr">
        <is>
          <t>COUNT active PO lines where contract_number IS NULL or blank.</t>
        </is>
      </c>
      <c r="F25" s="43" t="inlineStr">
        <is>
          <t>SELECT COUNT(*) FROM po_dump
WHERE (contract_number IS NULL OR contract_number = '')
  AND (deletion_indicator IS NULL OR deletion_indicator NOT IN ('L','X'))</t>
        </is>
      </c>
    </row>
    <row r="26" ht="143" customHeight="1">
      <c r="A26" s="4" t="n">
        <v>23</v>
      </c>
      <c r="B26" s="38" t="inlineStr">
        <is>
          <t>CAPEX_OPEX_SPLIT</t>
        </is>
      </c>
      <c r="C26" s="4" t="inlineStr">
        <is>
          <t>CAPEX vs OPEX Split</t>
        </is>
      </c>
      <c r="D26" s="20" t="inlineStr">
        <is>
          <t>INR/JSON</t>
        </is>
      </c>
      <c r="E26" s="21" t="inlineStr">
        <is>
          <t>CAPEX_FLAG = UPPER(COALESCE(capex_opex_flag,'OPEX')) = 'CAPEX'
OPEX_FLAG  = UPPER(COALESCE(capex_opex_flag,'OPEX')) = 'OPEX'
Returns {capex, opex, capex_pct, opex_pct}.</t>
        </is>
      </c>
      <c r="F26" s="22" t="inlineStr">
        <is>
          <t>-- CAPEX
SELECT SUM(CAST(net_order_value AS REAL)) FROM po_dump
WHERE (deletion_indicator IS NULL OR deletion_indicator NOT IN ('L','X'))
  AND document_date &gt;= '{FY}'
  AND UPPER(COALESCE(capex_opex_flag,'OPEX')) = 'CAPEX'
-- OPEX
SELECT SUM(CAST(net_order_value AS REAL)) FROM po_dump
WHERE (deletion_indicator IS NULL OR deletion_indicator NOT IN ('L','X'))
  AND document_date &gt;= '{FY}'
  AND UPPER(COALESCE(capex_opex_flag,'OPEX')) = 'OPEX'
-- capex_pct = CAPEX / (CAPEX + OPEX) × 100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8" customWidth="1" min="3" max="3"/>
    <col width="14" customWidth="1" min="4" max="4"/>
    <col width="42" customWidth="1" min="5" max="5"/>
    <col width="84" customWidth="1" min="6" max="6"/>
  </cols>
  <sheetData>
    <row r="1" ht="26" customHeight="1">
      <c r="A1" s="44" t="inlineStr">
        <is>
          <t>Vendor Dashboard — KPI Reference</t>
        </is>
      </c>
    </row>
    <row r="2" ht="14" customHeight="1">
      <c r="A2" s="17" t="inlineStr">
        <is>
          <t>Source: backend/services/kpi_engine.py  |  Vars: {FY}=FY start (Apr 1), {MTD}=month start, {ref_date}=MAX(po_dump.document_date)</t>
        </is>
      </c>
    </row>
    <row r="3" ht="16" customHeight="1">
      <c r="A3" s="45" t="inlineStr">
        <is>
          <t>#</t>
        </is>
      </c>
      <c r="B3" s="45" t="inlineStr">
        <is>
          <t>KPI Code</t>
        </is>
      </c>
      <c r="C3" s="45" t="inlineStr">
        <is>
          <t>KPI Name</t>
        </is>
      </c>
      <c r="D3" s="45" t="inlineStr">
        <is>
          <t>Unit</t>
        </is>
      </c>
      <c r="E3" s="45" t="inlineStr">
        <is>
          <t>Formula / Description</t>
        </is>
      </c>
      <c r="F3" s="45" t="inlineStr">
        <is>
          <t>SQL Query</t>
        </is>
      </c>
    </row>
    <row r="4" ht="77" customHeight="1">
      <c r="A4" s="4" t="n">
        <v>1</v>
      </c>
      <c r="B4" s="46" t="inlineStr">
        <is>
          <t>ACTIVE_VENDOR_COUNT</t>
        </is>
      </c>
      <c r="C4" s="4" t="inlineStr">
        <is>
          <t>Active Vendor Count</t>
        </is>
      </c>
      <c r="D4" s="20" t="inlineStr">
        <is>
          <t>count</t>
        </is>
      </c>
      <c r="E4" s="21" t="inlineStr">
        <is>
          <t>COUNT DISTINCT vendor where ALL 5 block flags are clear:
  central_purchasing_block &lt;&gt; 'X'
  central_posting_block    &lt;&gt; 'X'
  deletion_flag_central    &lt;&gt; 'X'
  payment_block            &lt;&gt; '*'  (SAP uses '*' not 'X' for payment block)
  posting_block_cc         &lt;&gt; 'X'</t>
        </is>
      </c>
      <c r="F4" s="22" t="inlineStr">
        <is>
          <t>SELECT COUNT(DISTINCT vendor)
FROM vendor_master
WHERE (central_purchasing_block IS NULL OR central_purchasing_block &lt;&gt; 'X')
  AND (central_posting_block    IS NULL OR central_posting_block    &lt;&gt; 'X')
  AND (deletion_flag_central    IS NULL OR deletion_flag_central    &lt;&gt; 'X')
  AND (payment_block            IS NULL OR payment_block            &lt;&gt; '*')
  AND (posting_block_cc         IS NULL OR posting_block_cc         &lt;&gt; 'X')</t>
        </is>
      </c>
    </row>
    <row r="5" ht="132" customHeight="1">
      <c r="A5" s="47" t="n">
        <v>2</v>
      </c>
      <c r="B5" s="48" t="inlineStr">
        <is>
          <t>VENDOR_BREAKDOWN</t>
        </is>
      </c>
      <c r="C5" s="47" t="inlineStr">
        <is>
          <t>Vendor Health Breakdown / Compliance Rate</t>
        </is>
      </c>
      <c r="D5" s="49" t="inlineStr">
        <is>
          <t>%%/JSON</t>
        </is>
      </c>
      <c r="E5" s="50" t="inlineStr">
        <is>
          <t>Compliance Rate = vendors with 3 key blocks clear / total × 100.
3 blocks: central_purchasing_block&lt;&gt;'X', payment_block&lt;&gt;'*', posting_block_cc&lt;&gt;'X'
JSON: {active, non_active, one_time, domestic, international, msme}</t>
        </is>
      </c>
      <c r="F5" s="51" t="inlineStr">
        <is>
          <t>SELECT
    COUNT(CASE WHEN (central_purchasing_block IS NULL OR central_purchasing_block&lt;&gt;'X')
                 AND (payment_block IS NULL OR payment_block&lt;&gt;'*')
                 AND (posting_block_cc IS NULL OR posting_block_cc&lt;&gt;'X') THEN 1 END) AS active,
    COUNT(CASE WHEN central_purchasing_block='X' OR payment_block='*'
                 OR posting_block_cc='X' THEN 1 END) AS non_active,
    COUNT(CASE WHEN UPPER(vendor_type)='ONE_TIME'      THEN 1 END) AS one_time,
    COUNT(CASE WHEN UPPER(vendor_type)='DOMESTIC'      THEN 1 END) AS domestic,
    COUNT(CASE WHEN UPPER(vendor_type)='INTERNATIONAL' THEN 1 END) AS international,
    COUNT(CASE WHEN msme_flag IN ('M','S')             THEN 1 END) AS msme,
    COUNT(*) AS total
FROM vendor_master</t>
        </is>
      </c>
    </row>
    <row r="6" ht="187" customHeight="1">
      <c r="A6" s="4" t="n">
        <v>3</v>
      </c>
      <c r="B6" s="46" t="inlineStr">
        <is>
          <t>VENDOR_DELIVERY_DAYS</t>
        </is>
      </c>
      <c r="C6" s="4" t="inlineStr">
        <is>
          <t>Vendor Delivery Lead Time</t>
        </is>
      </c>
      <c r="D6" s="20" t="inlineStr">
        <is>
          <t>days</t>
        </is>
      </c>
      <c r="E6" s="21" t="inlineStr">
        <is>
          <t>AVG(first_GRN_entry_date − PO_delivery_date) per vendor.
Positive = late; Negative = early. top-25 vendors by avg_days.
Uses MIN(grn.entry_date) as first receipt date.</t>
        </is>
      </c>
      <c r="F6" s="22" t="inlineStr">
        <is>
          <t>WITH grn_first AS (
    SELECT purchasing_document, item,
           MIN(entry_date) AS first_grn_date
    FROM grn_dump
    WHERE debit_credit_ind='S' AND entry_date IS NOT NULL AND entry_date != ''
    GROUP BY purchasing_document, item
)
SELECT po.vendor,
       COALESCE(MIN(vm.vendor_name), MIN(po.vendor_name), po.vendor) AS vendor_name,
       ROUND(AVG((gf.first_grn_date::DATE - po.delivery_date::DATE)::FLOAT), 1) AS avg_days,
       COUNT(*) AS po_lines
FROM po_dump po
JOIN grn_first gf ON gf.purchasing_document=po.purchasing_document AND gf.item=po.item
LEFT JOIN vendor_master vm ON po.vendor=vm.vendor
WHERE (po.deletion_indicator IS NULL OR po.deletion_indicator NOT IN ('L','X'))
  AND po.delivery_date IS NOT NULL AND po.delivery_date != ''
GROUP BY po.vendor ORDER BY avg_days DESC LIMIT 25</t>
        </is>
      </c>
    </row>
    <row r="7" ht="55" customHeight="1">
      <c r="A7" s="47" t="n">
        <v>4</v>
      </c>
      <c r="B7" s="48" t="inlineStr">
        <is>
          <t>AVG_DELIVERY_DELAY</t>
        </is>
      </c>
      <c r="C7" s="47" t="inlineStr">
        <is>
          <t>Avg Delivery Delay (late only)</t>
        </is>
      </c>
      <c r="D7" s="49" t="inlineStr">
        <is>
          <t>days</t>
        </is>
      </c>
      <c r="E7" s="50" t="inlineStr">
        <is>
          <t>AVG(grn.posting_date − pod.expected_delivery_date) for LATE deliveries only.
Late = posting_date &gt; expected_delivery_date.</t>
        </is>
      </c>
      <c r="F7" s="51" t="inlineStr">
        <is>
          <t>SELECT AVG((grn.posting_date::DATE - pod.expected_delivery_date::DATE)::FLOAT)
FROM po_delivery_dump pod
JOIN grn_dump grn ON grn.purchasing_document=pod.purchasing_document AND grn.item=pod.item
WHERE grn.debit_credit_ind = 'S'
  AND grn.posting_date &gt; pod.expected_delivery_date</t>
        </is>
      </c>
    </row>
    <row r="8" ht="77" customHeight="1">
      <c r="A8" s="4" t="n">
        <v>5</v>
      </c>
      <c r="B8" s="46" t="inlineStr">
        <is>
          <t>TOP_VENDOR_SPEND</t>
        </is>
      </c>
      <c r="C8" s="4" t="inlineStr">
        <is>
          <t>Top-10 Vendor Spend Share</t>
        </is>
      </c>
      <c r="D8" s="20" t="inlineStr">
        <is>
          <t>INR/JSON</t>
        </is>
      </c>
      <c r="E8" s="21" t="inlineStr">
        <is>
          <t>Top-10 vendors by SUM(net_order_value) with spend amount and % of total.
Joined with vendor_master for vendor_name.</t>
        </is>
      </c>
      <c r="F8" s="22" t="inlineStr">
        <is>
          <t>SELECT po.vendor,
       COALESCE(MIN(vm.vendor_name), MIN(po.vendor_name), po.vendor) AS name,
       SUM(CAST(po.net_order_value AS REAL)) AS spend
FROM po_dump po
LEFT JOIN vendor_master vm ON po.vendor=vm.vendor
WHERE (po.deletion_indicator IS NULL OR po.deletion_indicator NOT IN ('L','X'))
GROUP BY po.vendor ORDER BY spend DESC LIMIT 10</t>
        </is>
      </c>
    </row>
    <row r="9" ht="55" customHeight="1">
      <c r="A9" s="47" t="n">
        <v>6</v>
      </c>
      <c r="B9" s="48" t="inlineStr">
        <is>
          <t>BLOCKED_VENDOR_COUNT</t>
        </is>
      </c>
      <c r="C9" s="47" t="inlineStr">
        <is>
          <t>Blocked Vendor Count</t>
        </is>
      </c>
      <c r="D9" s="49" t="inlineStr">
        <is>
          <t>count</t>
        </is>
      </c>
      <c r="E9" s="50" t="inlineStr">
        <is>
          <t>COUNT DISTINCT vendors where ANY of 4 block flags is set:
  central_purchasing_block='X' OR central_posting_block='X'
  OR payment_block='*' OR posting_block_cc='X'</t>
        </is>
      </c>
      <c r="F9" s="51" t="inlineStr">
        <is>
          <t>SELECT COUNT(DISTINCT vendor) FROM vendor_master
WHERE (central_purchasing_block = 'X'
    OR central_posting_block    = 'X'
    OR payment_block            = '*'
    OR posting_block_cc         = 'X')</t>
        </is>
      </c>
    </row>
    <row r="10" ht="40" customHeight="1">
      <c r="A10" s="4" t="n">
        <v>7</v>
      </c>
      <c r="B10" s="46" t="inlineStr">
        <is>
          <t>MSME_VENDOR_COUNT</t>
        </is>
      </c>
      <c r="C10" s="4" t="inlineStr">
        <is>
          <t>MSME Vendor Count</t>
        </is>
      </c>
      <c r="D10" s="20" t="inlineStr">
        <is>
          <t>count</t>
        </is>
      </c>
      <c r="E10" s="21" t="inlineStr">
        <is>
          <t>COUNT vendors where msme_flag IN ('M','S').
M = Micro, S = Small enterprise.</t>
        </is>
      </c>
      <c r="F10" s="22" t="inlineStr">
        <is>
          <t>SELECT COUNT(*) FROM vendor_master WHERE msme_flag IN ('M','S')</t>
        </is>
      </c>
    </row>
    <row r="11" ht="88" customHeight="1">
      <c r="A11" s="47" t="n">
        <v>8</v>
      </c>
      <c r="B11" s="48" t="inlineStr">
        <is>
          <t>VENDOR_COMPLIANCE_RATE</t>
        </is>
      </c>
      <c r="C11" s="47" t="inlineStr">
        <is>
          <t>Vendor Compliance Rate</t>
        </is>
      </c>
      <c r="D11" s="49" t="inlineStr">
        <is>
          <t>%%</t>
        </is>
      </c>
      <c r="E11" s="50" t="inlineStr">
        <is>
          <t>Formula: vendors with ALL 5 block flags NULL/blank / total × 100.</t>
        </is>
      </c>
      <c r="F11" s="51" t="inlineStr">
        <is>
          <t>SELECT
    COUNT(CASE WHEN (central_purchasing_block IS NULL OR central_purchasing_block = '')
                 AND (central_posting_block    IS NULL OR central_posting_block    = '')
                 AND (deletion_flag_central    IS NULL OR deletion_flag_central    = '')
                 AND (payment_block            IS NULL OR payment_block            = '')
                 AND (posting_block_cc         IS NULL OR posting_block_cc         = '') THEN 1 END)
    * 100.0 / NULLIF(COUNT(*), 0)
FROM vendor_master</t>
        </is>
      </c>
    </row>
    <row r="12" ht="44" customHeight="1">
      <c r="A12" s="4" t="n">
        <v>9</v>
      </c>
      <c r="B12" s="46" t="inlineStr">
        <is>
          <t>VENDOR_MASTER_CHANGES</t>
        </is>
      </c>
      <c r="C12" s="4" t="inlineStr">
        <is>
          <t>Vendor Master Changes (MTD)</t>
        </is>
      </c>
      <c r="D12" s="20" t="inlineStr">
        <is>
          <t>count</t>
        </is>
      </c>
      <c r="E12" s="21" t="inlineStr">
        <is>
          <t>COUNT DISTINCT vendor IDs changed this month.
object_class='KRED' = SAP vendor master object class in change_log.</t>
        </is>
      </c>
      <c r="F12" s="22" t="inlineStr">
        <is>
          <t>SELECT COUNT(DISTINCT object_id)
FROM change_log
WHERE object_class = 'KRED'
  AND change_date &gt;= '{MTD}'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8" customWidth="1" min="3" max="3"/>
    <col width="14" customWidth="1" min="4" max="4"/>
    <col width="42" customWidth="1" min="5" max="5"/>
    <col width="84" customWidth="1" min="6" max="6"/>
  </cols>
  <sheetData>
    <row r="1" ht="26" customHeight="1">
      <c r="A1" s="52" t="inlineStr">
        <is>
          <t>Utilization Dashboard — KPI Reference</t>
        </is>
      </c>
    </row>
    <row r="2" ht="14" customHeight="1">
      <c r="A2" s="17" t="inlineStr">
        <is>
          <t>Source: backend/services/kpi_engine.py  |  Vars: {FY}=FY start (Apr 1), {MTD}=month start, {ref_date}=MAX(po_dump.document_date)</t>
        </is>
      </c>
    </row>
    <row r="3" ht="16" customHeight="1">
      <c r="A3" s="53" t="inlineStr">
        <is>
          <t>#</t>
        </is>
      </c>
      <c r="B3" s="53" t="inlineStr">
        <is>
          <t>KPI Code</t>
        </is>
      </c>
      <c r="C3" s="53" t="inlineStr">
        <is>
          <t>KPI Name</t>
        </is>
      </c>
      <c r="D3" s="53" t="inlineStr">
        <is>
          <t>Unit</t>
        </is>
      </c>
      <c r="E3" s="53" t="inlineStr">
        <is>
          <t>Formula / Description</t>
        </is>
      </c>
      <c r="F3" s="53" t="inlineStr">
        <is>
          <t>SQL Query</t>
        </is>
      </c>
    </row>
    <row r="4" ht="44" customHeight="1">
      <c r="A4" s="4" t="n">
        <v>1</v>
      </c>
      <c r="B4" s="54" t="inlineStr">
        <is>
          <t>CAPEX_SPEND_YTD</t>
        </is>
      </c>
      <c r="C4" s="4" t="inlineStr">
        <is>
          <t>Total CAPEX Spend (YTD)</t>
        </is>
      </c>
      <c r="D4" s="20" t="inlineStr">
        <is>
          <t>INR</t>
        </is>
      </c>
      <c r="E4" s="21" t="inlineStr">
        <is>
          <t>SUM(net_order_value) for active POs flagged CAPEX since FY start.
CAPEX_FLAG = UPPER(COALESCE(capex_opex_flag,'OPEX')) = 'CAPEX'
Unset capex_opex_flag defaults to OPEX via COALESCE.</t>
        </is>
      </c>
      <c r="F4" s="22" t="inlineStr">
        <is>
          <t>SELECT SUM(CAST(net_order_value AS REAL)) FROM po_dump
WHERE (deletion_indicator IS NULL OR deletion_indicator NOT IN ('L','X'))
  AND document_date &gt;= '{FY}'
  AND UPPER(COALESCE(capex_opex_flag,'OPEX')) = 'CAPEX'</t>
        </is>
      </c>
    </row>
    <row r="5" ht="44" customHeight="1">
      <c r="A5" s="55" t="n">
        <v>2</v>
      </c>
      <c r="B5" s="56" t="inlineStr">
        <is>
          <t>OPEX_SPEND_YTD</t>
        </is>
      </c>
      <c r="C5" s="55" t="inlineStr">
        <is>
          <t>Total OPEX Spend (YTD)</t>
        </is>
      </c>
      <c r="D5" s="57" t="inlineStr">
        <is>
          <t>INR</t>
        </is>
      </c>
      <c r="E5" s="58" t="inlineStr">
        <is>
          <t>SUM(net_order_value) for active POs flagged OPEX since FY start.
OPEX_FLAG = UPPER(COALESCE(capex_opex_flag,'OPEX')) = 'OPEX'</t>
        </is>
      </c>
      <c r="F5" s="59" t="inlineStr">
        <is>
          <t>SELECT SUM(CAST(net_order_value AS REAL)) FROM po_dump
WHERE (deletion_indicator IS NULL OR deletion_indicator NOT IN ('L','X'))
  AND document_date &gt;= '{FY}'
  AND UPPER(COALESCE(capex_opex_flag,'OPEX')) = 'OPEX'</t>
        </is>
      </c>
    </row>
    <row r="6" ht="40" customHeight="1">
      <c r="A6" s="4" t="n">
        <v>3</v>
      </c>
      <c r="B6" s="54" t="inlineStr">
        <is>
          <t>CAPEX_PCT</t>
        </is>
      </c>
      <c r="C6" s="4" t="inlineStr">
        <is>
          <t>CAPEX as %% of Total</t>
        </is>
      </c>
      <c r="D6" s="20" t="inlineStr">
        <is>
          <t>%%</t>
        </is>
      </c>
      <c r="E6" s="21" t="inlineStr">
        <is>
          <t>Formula: CAPEX_SPEND_YTD / (CAPEX_SPEND_YTD + OPEX_SPEND_YTD) × 100</t>
        </is>
      </c>
      <c r="F6" s="22">
        <f> CAPEX_SPEND_YTD / (CAPEX_SPEND_YTD + OPEX_SPEND_YTD) × 100</f>
        <v/>
      </c>
    </row>
    <row r="7" ht="40" customHeight="1">
      <c r="A7" s="55" t="n">
        <v>4</v>
      </c>
      <c r="B7" s="56" t="inlineStr">
        <is>
          <t>OPEX_PCT</t>
        </is>
      </c>
      <c r="C7" s="55" t="inlineStr">
        <is>
          <t>OPEX as %% of Total</t>
        </is>
      </c>
      <c r="D7" s="57" t="inlineStr">
        <is>
          <t>%%</t>
        </is>
      </c>
      <c r="E7" s="58" t="inlineStr">
        <is>
          <t>Formula: OPEX_SPEND_YTD / (CAPEX_SPEND_YTD + OPEX_SPEND_YTD) × 100</t>
        </is>
      </c>
      <c r="F7" s="59">
        <f> OPEX_SPEND_YTD / (CAPEX_SPEND_YTD + OPEX_SPEND_YTD) × 100</f>
        <v/>
      </c>
    </row>
    <row r="8" ht="44" customHeight="1">
      <c r="A8" s="4" t="n">
        <v>5</v>
      </c>
      <c r="B8" s="54" t="inlineStr">
        <is>
          <t>CAPEX_PO_COUNT</t>
        </is>
      </c>
      <c r="C8" s="4" t="inlineStr">
        <is>
          <t>CAPEX PO Count (YTD)</t>
        </is>
      </c>
      <c r="D8" s="20" t="inlineStr">
        <is>
          <t>count</t>
        </is>
      </c>
      <c r="E8" s="21" t="inlineStr">
        <is>
          <t>COUNT DISTINCT purchasing_document flagged CAPEX since FY start.</t>
        </is>
      </c>
      <c r="F8" s="22" t="inlineStr">
        <is>
          <t>SELECT COUNT(DISTINCT purchasing_document) FROM po_dump
WHERE (deletion_indicator IS NULL OR deletion_indicator NOT IN ('L','X'))
  AND document_date &gt;= '{FY}'
  AND UPPER(COALESCE(capex_opex_flag,'OPEX')) = 'CAPEX'</t>
        </is>
      </c>
    </row>
    <row r="9" ht="44" customHeight="1">
      <c r="A9" s="55" t="n">
        <v>6</v>
      </c>
      <c r="B9" s="56" t="inlineStr">
        <is>
          <t>OPEX_PO_COUNT</t>
        </is>
      </c>
      <c r="C9" s="55" t="inlineStr">
        <is>
          <t>OPEX PO Count (YTD)</t>
        </is>
      </c>
      <c r="D9" s="57" t="inlineStr">
        <is>
          <t>count</t>
        </is>
      </c>
      <c r="E9" s="58" t="inlineStr">
        <is>
          <t>COUNT DISTINCT purchasing_document flagged OPEX since FY start.</t>
        </is>
      </c>
      <c r="F9" s="59" t="inlineStr">
        <is>
          <t>SELECT COUNT(DISTINCT purchasing_document) FROM po_dump
WHERE (deletion_indicator IS NULL OR deletion_indicator NOT IN ('L','X'))
  AND document_date &gt;= '{FY}'
  AND UPPER(COALESCE(capex_opex_flag,'OPEX')) = 'OPEX'</t>
        </is>
      </c>
    </row>
    <row r="10" ht="40" customHeight="1">
      <c r="A10" s="4" t="n">
        <v>7</v>
      </c>
      <c r="B10" s="54" t="inlineStr">
        <is>
          <t>CAPEX_AVG_PO_VALUE</t>
        </is>
      </c>
      <c r="C10" s="4" t="inlineStr">
        <is>
          <t>Avg CAPEX PO Value</t>
        </is>
      </c>
      <c r="D10" s="20" t="inlineStr">
        <is>
          <t>INR</t>
        </is>
      </c>
      <c r="E10" s="21" t="inlineStr">
        <is>
          <t>AVG(net_order_value) for all active CAPEX POs (all time).</t>
        </is>
      </c>
      <c r="F10" s="22" t="inlineStr">
        <is>
          <t>SELECT AVG(CAST(net_order_value AS REAL)) FROM po_dump
WHERE (deletion_indicator IS NULL OR deletion_indicator NOT IN ('L','X'))
  AND UPPER(COALESCE(capex_opex_flag,'OPEX')) = 'CAPEX'</t>
        </is>
      </c>
    </row>
    <row r="11" ht="40" customHeight="1">
      <c r="A11" s="55" t="n">
        <v>8</v>
      </c>
      <c r="B11" s="56" t="inlineStr">
        <is>
          <t>OPEX_AVG_PO_VALUE</t>
        </is>
      </c>
      <c r="C11" s="55" t="inlineStr">
        <is>
          <t>Avg OPEX PO Value</t>
        </is>
      </c>
      <c r="D11" s="57" t="inlineStr">
        <is>
          <t>INR</t>
        </is>
      </c>
      <c r="E11" s="58" t="inlineStr">
        <is>
          <t>AVG(net_order_value) for all active OPEX POs (all time).</t>
        </is>
      </c>
      <c r="F11" s="59" t="inlineStr">
        <is>
          <t>SELECT AVG(CAST(net_order_value AS REAL)) FROM po_dump
WHERE (deletion_indicator IS NULL OR deletion_indicator NOT IN ('L','X'))
  AND UPPER(COALESCE(capex_opex_flag,'OPEX')) = 'OPEX'</t>
        </is>
      </c>
    </row>
    <row r="12" ht="44" customHeight="1">
      <c r="A12" s="4" t="n">
        <v>9</v>
      </c>
      <c r="B12" s="54" t="inlineStr">
        <is>
          <t>CAPEX_PENDING_VALUE</t>
        </is>
      </c>
      <c r="C12" s="4" t="inlineStr">
        <is>
          <t>CAPEX Pending Delivery</t>
        </is>
      </c>
      <c r="D12" s="20" t="inlineStr">
        <is>
          <t>INR</t>
        </is>
      </c>
      <c r="E12" s="21" t="inlineStr">
        <is>
          <t>SUM(net_order_value) for active CAPEX POs where delivery_completed IS NULL or blank.</t>
        </is>
      </c>
      <c r="F12" s="22" t="inlineStr">
        <is>
          <t>SELECT SUM(CAST(net_order_value AS REAL)) FROM po_dump
WHERE (deletion_indicator IS NULL OR deletion_indicator NOT IN ('L','X'))
  AND UPPER(COALESCE(capex_opex_flag,'OPEX')) = 'CAPEX'
  AND (delivery_completed IS NULL OR delivery_completed = '')</t>
        </is>
      </c>
    </row>
    <row r="13" ht="44" customHeight="1">
      <c r="A13" s="55" t="n">
        <v>10</v>
      </c>
      <c r="B13" s="56" t="inlineStr">
        <is>
          <t>OPEX_PENDING_VALUE</t>
        </is>
      </c>
      <c r="C13" s="55" t="inlineStr">
        <is>
          <t>OPEX Pending Delivery</t>
        </is>
      </c>
      <c r="D13" s="57" t="inlineStr">
        <is>
          <t>INR</t>
        </is>
      </c>
      <c r="E13" s="58" t="inlineStr">
        <is>
          <t>SUM(net_order_value) for active OPEX POs where delivery_completed IS NULL or blank.</t>
        </is>
      </c>
      <c r="F13" s="59" t="inlineStr">
        <is>
          <t>SELECT SUM(CAST(net_order_value AS REAL)) FROM po_dump
WHERE (deletion_indicator IS NULL OR deletion_indicator NOT IN ('L','X'))
  AND UPPER(COALESCE(capex_opex_flag,'OPEX')) = 'OPEX'
  AND (delivery_completed IS NULL OR delivery_completed = '')</t>
        </is>
      </c>
    </row>
    <row r="14" ht="77" customHeight="1">
      <c r="A14" s="4" t="n">
        <v>11</v>
      </c>
      <c r="B14" s="54" t="inlineStr">
        <is>
          <t>CAPEX_BY_CATEGORY</t>
        </is>
      </c>
      <c r="C14" s="4" t="inlineStr">
        <is>
          <t>CAPEX by Material Category</t>
        </is>
      </c>
      <c r="D14" s="20" t="inlineStr">
        <is>
          <t>INR/JSON</t>
        </is>
      </c>
      <c r="E14" s="21" t="inlineStr">
        <is>
          <t>CAPEX spend + PO count grouped by material_group, top-6.
Group name mapping: 9901=Civil, 9902=Electrical, 9904=IT Hardware, 9905=IT Software, 9907=Furniture, 9908=Vehicles.</t>
        </is>
      </c>
      <c r="F14" s="22" t="inlineStr">
        <is>
          <t>SELECT material_group,
       SUM(CAST(net_order_value AS REAL)) AS v,
       COUNT(DISTINCT purchasing_document) AS po_count
FROM po_dump
WHERE (deletion_indicator IS NULL OR deletion_indicator NOT IN ('L','X'))
  AND UPPER(COALESCE(capex_opex_flag,'OPEX')) = 'CAPEX'
GROUP BY material_group ORDER BY v DESC LIMIT 6</t>
        </is>
      </c>
    </row>
    <row r="15" ht="77" customHeight="1">
      <c r="A15" s="55" t="n">
        <v>12</v>
      </c>
      <c r="B15" s="56" t="inlineStr">
        <is>
          <t>OPEX_BY_CATEGORY</t>
        </is>
      </c>
      <c r="C15" s="55" t="inlineStr">
        <is>
          <t>OPEX by Material Category</t>
        </is>
      </c>
      <c r="D15" s="57" t="inlineStr">
        <is>
          <t>INR/JSON</t>
        </is>
      </c>
      <c r="E15" s="58" t="inlineStr">
        <is>
          <t>OPEX spend + PO count grouped by material_group, top-6.</t>
        </is>
      </c>
      <c r="F15" s="59" t="inlineStr">
        <is>
          <t>SELECT material_group,
       SUM(CAST(net_order_value AS REAL)) AS v,
       COUNT(DISTINCT purchasing_document) AS po_count
FROM po_dump
WHERE (deletion_indicator IS NULL OR deletion_indicator NOT IN ('L','X'))
  AND UPPER(COALESCE(capex_opex_flag,'OPEX')) = 'OPEX'
GROUP BY material_group ORDER BY v DESC LIMIT 6</t>
        </is>
      </c>
    </row>
    <row r="16" ht="88" customHeight="1">
      <c r="A16" s="4" t="n">
        <v>13</v>
      </c>
      <c r="B16" s="54" t="inlineStr">
        <is>
          <t>CAPEX_OPEX_BY_PLANT</t>
        </is>
      </c>
      <c r="C16" s="4" t="inlineStr">
        <is>
          <t>CAPEX/OPEX by Plant</t>
        </is>
      </c>
      <c r="D16" s="20" t="inlineStr">
        <is>
          <t>INR/JSON</t>
        </is>
      </c>
      <c r="E16" s="21" t="inlineStr">
        <is>
          <t>CAPEX and OPEX spend per plant. Sorted by (CAPEX+OPEX) DESC.</t>
        </is>
      </c>
      <c r="F16" s="22" t="inlineStr">
        <is>
          <t>SELECT plant,
       SUM(CASE WHEN UPPER(COALESCE(capex_opex_flag,'OPEX'))='CAPEX'
                THEN CAST(net_order_value AS REAL) ELSE 0 END) AS capex,
       SUM(CASE WHEN UPPER(COALESCE(capex_opex_flag,'OPEX'))='OPEX'
                THEN CAST(net_order_value AS REAL) ELSE 0 END) AS opex
FROM po_dump
WHERE (deletion_indicator IS NULL OR deletion_indicator NOT IN ('L','X'))
GROUP BY plant ORDER BY (capex+opex) DESC</t>
        </is>
      </c>
    </row>
    <row r="17" ht="40" customHeight="1">
      <c r="A17" s="55" t="n">
        <v>14</v>
      </c>
      <c r="B17" s="56" t="inlineStr">
        <is>
          <t>SW_LIC_UTIL_RATE</t>
        </is>
      </c>
      <c r="C17" s="55" t="inlineStr">
        <is>
          <t>Avg License Utilization Rate</t>
        </is>
      </c>
      <c r="D17" s="57" t="inlineStr">
        <is>
          <t>%%</t>
        </is>
      </c>
      <c r="E17" s="58" t="inlineStr">
        <is>
          <t>Formula: AVG(active_users / total_licenses × 100) across all tools.
Source: license_usage table. Only tools with total_licenses &gt; 0.</t>
        </is>
      </c>
      <c r="F17" s="59" t="inlineStr">
        <is>
          <t>SELECT AVG(active_users * 100.0 / NULLIF(total_licenses, 0))
FROM license_usage WHERE total_licenses &gt; 0</t>
        </is>
      </c>
    </row>
    <row r="18" ht="40" customHeight="1">
      <c r="A18" s="4" t="n">
        <v>15</v>
      </c>
      <c r="B18" s="54" t="inlineStr">
        <is>
          <t>SW_UNDERUTIL_COUNT</t>
        </is>
      </c>
      <c r="C18" s="4" t="inlineStr">
        <is>
          <t>Under-Utilized Tools (&lt;70%%)</t>
        </is>
      </c>
      <c r="D18" s="20" t="inlineStr">
        <is>
          <t>count</t>
        </is>
      </c>
      <c r="E18" s="21" t="inlineStr">
        <is>
          <t>COUNT tools where active_users / total_licenses &lt; 70%.</t>
        </is>
      </c>
      <c r="F18" s="22" t="inlineStr">
        <is>
          <t>SELECT COUNT(*) FROM license_usage
WHERE total_licenses &gt; 0
  AND (active_users * 1.0 / total_licenses) &lt; 0.70</t>
        </is>
      </c>
    </row>
    <row r="19" ht="40" customHeight="1">
      <c r="A19" s="55" t="n">
        <v>16</v>
      </c>
      <c r="B19" s="56" t="inlineStr">
        <is>
          <t>SW_TOTAL_LICENSES</t>
        </is>
      </c>
      <c r="C19" s="55" t="inlineStr">
        <is>
          <t>Total Licensed Seats</t>
        </is>
      </c>
      <c r="D19" s="57" t="inlineStr">
        <is>
          <t>seats</t>
        </is>
      </c>
      <c r="E19" s="58" t="inlineStr">
        <is>
          <t>SUM(total_licenses) across all tools in license_usage.</t>
        </is>
      </c>
      <c r="F19" s="59" t="inlineStr">
        <is>
          <t>SELECT SUM(total_licenses) FROM license_usage</t>
        </is>
      </c>
    </row>
    <row r="20" ht="40" customHeight="1">
      <c r="A20" s="4" t="n">
        <v>17</v>
      </c>
      <c r="B20" s="54" t="inlineStr">
        <is>
          <t>SW_ACTIVE_USERS</t>
        </is>
      </c>
      <c r="C20" s="4" t="inlineStr">
        <is>
          <t>Total Active License Users</t>
        </is>
      </c>
      <c r="D20" s="20" t="inlineStr">
        <is>
          <t>users</t>
        </is>
      </c>
      <c r="E20" s="21" t="inlineStr">
        <is>
          <t>SUM(active_users) across all tools in license_usage.</t>
        </is>
      </c>
      <c r="F20" s="22" t="inlineStr">
        <is>
          <t>SELECT SUM(active_users) FROM license_usage</t>
        </is>
      </c>
    </row>
    <row r="21" ht="40" customHeight="1">
      <c r="A21" s="55" t="n">
        <v>18</v>
      </c>
      <c r="B21" s="56" t="inlineStr">
        <is>
          <t>SW_UNUSED_SEATS</t>
        </is>
      </c>
      <c r="C21" s="55" t="inlineStr">
        <is>
          <t>Unused License Seats</t>
        </is>
      </c>
      <c r="D21" s="57" t="inlineStr">
        <is>
          <t>seats</t>
        </is>
      </c>
      <c r="E21" s="58" t="inlineStr">
        <is>
          <t>Formula: SUM(total_licenses) − SUM(active_users)</t>
        </is>
      </c>
      <c r="F21" s="59">
        <f> SUM(total_licenses) - SUM(active_users) FROM license_usage</f>
        <v/>
      </c>
    </row>
    <row r="22" ht="40" customHeight="1">
      <c r="A22" s="4" t="n">
        <v>19</v>
      </c>
      <c r="B22" s="54" t="inlineStr">
        <is>
          <t>SW_ANNUAL_COST</t>
        </is>
      </c>
      <c r="C22" s="4" t="inlineStr">
        <is>
          <t>Total Annual SW License Cost</t>
        </is>
      </c>
      <c r="D22" s="20" t="inlineStr">
        <is>
          <t>INR Cr</t>
        </is>
      </c>
      <c r="E22" s="21" t="inlineStr">
        <is>
          <t>SUM(annual_cost_inr) / 1,00,00,000 (convert to Crores).</t>
        </is>
      </c>
      <c r="F22" s="22" t="inlineStr">
        <is>
          <t>SELECT SUM(annual_cost_inr) / 10000000.0 AS cost_crores FROM license_usage</t>
        </is>
      </c>
    </row>
    <row r="23" ht="40" customHeight="1">
      <c r="A23" s="55" t="n">
        <v>20</v>
      </c>
      <c r="B23" s="56" t="inlineStr">
        <is>
          <t>SW_COST_PER_USER</t>
        </is>
      </c>
      <c r="C23" s="55" t="inlineStr">
        <is>
          <t>Effective Cost Per Active User</t>
        </is>
      </c>
      <c r="D23" s="57" t="inlineStr">
        <is>
          <t>INR</t>
        </is>
      </c>
      <c r="E23" s="58" t="inlineStr">
        <is>
          <t>Formula: SUM(annual_cost_inr) / SUM(active_users)</t>
        </is>
      </c>
      <c r="F23" s="59">
        <f> SUM(annual_cost_inr) / NULLIF(SUM(active_users), 0) FROM license_usage</f>
        <v/>
      </c>
    </row>
    <row r="24" ht="44" customHeight="1">
      <c r="A24" s="4" t="n">
        <v>21</v>
      </c>
      <c r="B24" s="54" t="inlineStr">
        <is>
          <t>SW_WASTED_COST</t>
        </is>
      </c>
      <c r="C24" s="4" t="inlineStr">
        <is>
          <t>Wasted License Cost (Under-util)</t>
        </is>
      </c>
      <c r="D24" s="20" t="inlineStr">
        <is>
          <t>INR Cr</t>
        </is>
      </c>
      <c r="E24" s="21" t="inlineStr">
        <is>
          <t>SUM(annual_cost_inr × (1 − utilization_rate)) for tools with util &lt; 70%%.
utilization_rate = active_users / total_licenses.</t>
        </is>
      </c>
      <c r="F24" s="22" t="inlineStr">
        <is>
          <t>SELECT SUM(annual_cost_inr * (1 - active_users * 1.0 / total_licenses)) / 10000000.0
FROM license_usage
WHERE total_licenses &gt; 0
  AND (active_users * 1.0 / total_licenses) &lt; 0.70</t>
        </is>
      </c>
    </row>
    <row r="25" ht="44" customHeight="1">
      <c r="A25" s="55" t="n">
        <v>22</v>
      </c>
      <c r="B25" s="56" t="inlineStr">
        <is>
          <t>SW_RENEWAL_90D</t>
        </is>
      </c>
      <c r="C25" s="55" t="inlineStr">
        <is>
          <t>Licenses Renewing in 90 Days</t>
        </is>
      </c>
      <c r="D25" s="57" t="inlineStr">
        <is>
          <t>count</t>
        </is>
      </c>
      <c r="E25" s="58" t="inlineStr">
        <is>
          <t>COUNT tools where renewal_date is within next 90 days.</t>
        </is>
      </c>
      <c r="F25" s="59" t="inlineStr">
        <is>
          <t>SELECT COUNT(*) FROM license_usage
WHERE renewal_date IS NOT NULL
  AND (renewal_date::DATE - CURRENT_DATE) &lt;= 90
  AND (renewal_date::DATE - CURRENT_DATE) &gt;= 0</t>
        </is>
      </c>
    </row>
    <row r="26" ht="44" customHeight="1">
      <c r="A26" s="4" t="n">
        <v>23</v>
      </c>
      <c r="B26" s="54" t="inlineStr">
        <is>
          <t>SW_VENDOR_BREAKDOWN</t>
        </is>
      </c>
      <c r="C26" s="4" t="inlineStr">
        <is>
          <t>SW Vendor Breakdown</t>
        </is>
      </c>
      <c r="D26" s="20" t="inlineStr">
        <is>
          <t>JSON</t>
        </is>
      </c>
      <c r="E26" s="21" t="inlineStr">
        <is>
          <t>SUM(annual_cost_inr) and total_licenses per tool vendor, top-10.
Used for vendor concentration chart on Software tab.</t>
        </is>
      </c>
      <c r="F26" s="22" t="inlineStr">
        <is>
          <t>SELECT vendor_name, SUM(annual_cost_inr) AS cost, SUM(total_licenses) AS seats
FROM license_usage
WHERE vendor_name IS NOT NULL
GROUP BY vendor_name ORDER BY cost DESC LIMIT 10</t>
        </is>
      </c>
    </row>
    <row r="27" ht="110" customHeight="1">
      <c r="A27" s="55" t="n">
        <v>24</v>
      </c>
      <c r="B27" s="56" t="inlineStr">
        <is>
          <t>MAT_DELIV_UTIL_RATE</t>
        </is>
      </c>
      <c r="C27" s="55" t="inlineStr">
        <is>
          <t>Material Delivery Utilization</t>
        </is>
      </c>
      <c r="D27" s="57" t="inlineStr">
        <is>
          <t>%%</t>
        </is>
      </c>
      <c r="E27" s="58" t="inlineStr">
        <is>
          <t>Formula: SUM(GRN qty received) / SUM(PO order qty) × 100
GRN movement_type='101', debit_credit_ind='S' (standard goods receipt).</t>
        </is>
      </c>
      <c r="F27" s="59" t="inlineStr">
        <is>
          <t>SELECT SUM(CAST(COALESCE(NULLIF(g.quantity,''),'0') AS REAL)) AS grn_qty,
       SUM(CAST(COALESCE(NULLIF(p.order_quantity,''),'0') AS REAL)) AS po_qty
FROM po_dump p
JOIN grn_dump g ON p.purchasing_document=g.purchasing_document AND p.item=g.item
LEFT JOIN po_categorization c ON p.purchasing_document=c.purchasing_document AND p.item=c.item
WHERE g.movement_type='101' AND g.debit_credit_ind='S'
  AND (p.deletion_indicator IS NULL OR p.deletion_indicator NOT IN ('L','X'))
  AND (c.po_category IS NULL OR c.po_category='MATERIAL')
-- Rate = grn_qty / po_qty × 100</t>
        </is>
      </c>
    </row>
    <row r="28" ht="44" customHeight="1">
      <c r="A28" s="4" t="n">
        <v>25</v>
      </c>
      <c r="B28" s="54" t="inlineStr">
        <is>
          <t>MAT_DELIVERY_COMPLETE_PCT</t>
        </is>
      </c>
      <c r="C28" s="4" t="inlineStr">
        <is>
          <t>Delivery Completed PO %%</t>
        </is>
      </c>
      <c r="D28" s="20" t="inlineStr">
        <is>
          <t>%%</t>
        </is>
      </c>
      <c r="E28" s="21" t="inlineStr">
        <is>
          <t>%% POs in FY where delivery_completed='X' (ELIKZ flag in SAP EKPO table).</t>
        </is>
      </c>
      <c r="F28" s="22" t="inlineStr">
        <is>
          <t>SELECT COUNT(CASE WHEN delivery_completed='X' THEN 1 END) * 100.0 / NULLIF(COUNT(*),0)
FROM po_dump
WHERE (deletion_indicator IS NULL OR deletion_indicator NOT IN ('L','X'))
  AND document_date &gt;= '{FY}'</t>
        </is>
      </c>
    </row>
    <row r="29" ht="55" customHeight="1">
      <c r="A29" s="55" t="n">
        <v>26</v>
      </c>
      <c r="B29" s="56" t="inlineStr">
        <is>
          <t>MAT_OPEN_PO_VALUE</t>
        </is>
      </c>
      <c r="C29" s="55" t="inlineStr">
        <is>
          <t>Open PO Value Not GRN'd</t>
        </is>
      </c>
      <c r="D29" s="57" t="inlineStr">
        <is>
          <t>INR Cr</t>
        </is>
      </c>
      <c r="E29" s="58" t="inlineStr">
        <is>
          <t>SUM(po_net_value − grn_amount) for POs where GRN &lt; 95%% of PO value.
From pr_po_grn_invoice fact table. In Crores (÷ 1Cr).</t>
        </is>
      </c>
      <c r="F29" s="59" t="inlineStr">
        <is>
          <t>SELECT SUM(f.po_net_value - COALESCE(f.grn_amount,0)) / 10000000.0
FROM pr_po_grn_invoice f
WHERE f.po_deletion_indicator NOT IN ('L','X')
  AND COALESCE(f.grn_amount,0) &lt; f.po_net_value * 0.95
  AND f.po_net_value &gt; 0</t>
        </is>
      </c>
    </row>
    <row r="30" ht="99" customHeight="1">
      <c r="A30" s="4" t="n">
        <v>27</v>
      </c>
      <c r="B30" s="54" t="inlineStr">
        <is>
          <t>MAT_3WAY_MATCH</t>
        </is>
      </c>
      <c r="C30" s="4" t="inlineStr">
        <is>
          <t>3-Way Match Rate (Materials)</t>
        </is>
      </c>
      <c r="D30" s="20" t="inlineStr">
        <is>
          <t>%%</t>
        </is>
      </c>
      <c r="E30" s="21" t="inlineStr">
        <is>
          <t>Formula: Matched_material_lines / Total_material_lines_with_GRN × 100
Matched = ABS(invoice_amount − grn_amount) / grn_amount &lt; 5%%.</t>
        </is>
      </c>
      <c r="F30" s="22" t="inlineStr">
        <is>
          <t>SELECT
    COUNT(CASE WHEN f.grn_amount &gt; 0
               AND ABS(f.invoice_amount - f.grn_amount)
                   / NULLIF(f.grn_amount, 0) &lt; 0.05 THEN 1 END) * 100.0
    / NULLIF(COUNT(CASE WHEN f.grn_amount &gt; 0 THEN 1 END), 0)
FROM pr_po_grn_invoice f
LEFT JOIN po_categorization c ON f.purchasing_document=c.purchasing_document AND f.item=c.item
WHERE f.po_deletion_indicator NOT IN ('L','X')
  AND (c.po_category IS NULL OR c.po_category='MATERIAL')</t>
        </is>
      </c>
    </row>
    <row r="31" ht="132" customHeight="1">
      <c r="A31" s="55" t="n">
        <v>28</v>
      </c>
      <c r="B31" s="56" t="inlineStr">
        <is>
          <t>MAT_VENDOR_FILL_RATE</t>
        </is>
      </c>
      <c r="C31" s="55" t="inlineStr">
        <is>
          <t>Material Vendor Fill Rate</t>
        </is>
      </c>
      <c r="D31" s="57" t="inlineStr">
        <is>
          <t>%%</t>
        </is>
      </c>
      <c r="E31" s="58" t="inlineStr">
        <is>
          <t>Formula: SUM(GRN qty) / SUM(PO qty) × 100 per vendor, top-10 by PO qty.
Measures how well vendors fulfil their delivery commitments.</t>
        </is>
      </c>
      <c r="F31" s="59" t="inlineStr">
        <is>
          <t>SELECT po.vendor,
       COALESCE(MIN(vm.vendor_name), po.vendor) AS vendor_name,
       ROUND(SUM(CAST(COALESCE(NULLIF(g.quantity,''),'0') AS REAL))
             / NULLIF(SUM(CAST(COALESCE(NULLIF(po.order_quantity,''),'0') AS REAL)),0)
             * 100, 1) AS fill_rate
FROM po_dump po
JOIN grn_dump g ON po.purchasing_document=g.purchasing_document AND po.item=g.item
LEFT JOIN vendor_master vm ON po.vendor=vm.vendor
WHERE g.movement_type='101' AND g.debit_credit_ind='S'
  AND (po.deletion_indicator IS NULL OR po.deletion_indicator NOT IN ('L','X'))
GROUP BY po.vendor ORDER BY SUM(CAST(COALESCE(NULLIF(po.order_quantity,''),'0') AS REAL)) DESC
LIMIT 10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2026-06-26T05:35:20Z</dcterms:created>
  <dcterms:modified xsi:type="dcterms:W3CDTF">2026-06-26T05:35:20Z</dcterms:modified>
</cp:coreProperties>
</file>