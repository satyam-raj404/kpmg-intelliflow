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yan\OneDrive\Documents\GitHub\kpmg-intelliflow\ARB\"/>
    </mc:Choice>
  </mc:AlternateContent>
  <xr:revisionPtr revIDLastSave="0" documentId="8_{0FE64211-5719-4C69-972C-1F2E6B4B0D0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ummary" sheetId="1" r:id="rId1"/>
    <sheet name="Procurement" sheetId="2" r:id="rId2"/>
    <sheet name="Financial" sheetId="3" r:id="rId3"/>
    <sheet name="Leadership" sheetId="4" r:id="rId4"/>
    <sheet name="Vendor" sheetId="5" r:id="rId5"/>
    <sheet name="Utilization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F6" i="6"/>
  <c r="F10" i="4"/>
  <c r="F9" i="4"/>
  <c r="F7" i="4"/>
  <c r="F5" i="4"/>
</calcChain>
</file>

<file path=xl/sharedStrings.xml><?xml version="1.0" encoding="utf-8"?>
<sst xmlns="http://schemas.openxmlformats.org/spreadsheetml/2006/main" count="581" uniqueCount="289">
  <si>
    <t>IntelliSource — KPI Reference (Frontend-Validated KPIs Only)</t>
  </si>
  <si>
    <t>Only KPIs confirmed rendered in the frontend (dashboard.tsx / financial.tsx / leadership.tsx / vendors.tsx / utilization.tsx). SQL sourced line-by-line from backend/services/kpi_engine.py.</t>
  </si>
  <si>
    <t>#</t>
  </si>
  <si>
    <t>Dashboard</t>
  </si>
  <si>
    <t>KPI Code</t>
  </si>
  <si>
    <t>Frontend Label</t>
  </si>
  <si>
    <t>Unit</t>
  </si>
  <si>
    <t>Source Function</t>
  </si>
  <si>
    <t>Source Line</t>
  </si>
  <si>
    <t>PROCUREMENT</t>
  </si>
  <si>
    <t>TOTAL_PO_VALUE_MTD</t>
  </si>
  <si>
    <t>Total PO Value (MTD)</t>
  </si>
  <si>
    <t>INR</t>
  </si>
  <si>
    <t>_procurement()</t>
  </si>
  <si>
    <t>L97</t>
  </si>
  <si>
    <t>ACTIVE_PO_COUNT</t>
  </si>
  <si>
    <t>Active PO Count</t>
  </si>
  <si>
    <t>count</t>
  </si>
  <si>
    <t>L107</t>
  </si>
  <si>
    <t>HIGH_VALUE_PO_COUNT</t>
  </si>
  <si>
    <t>High-Value PO Count</t>
  </si>
  <si>
    <t>L117</t>
  </si>
  <si>
    <t>OPEN_PR_AGING</t>
  </si>
  <si>
    <t>Open PR Lines &gt; 7 Days</t>
  </si>
  <si>
    <t>L340</t>
  </si>
  <si>
    <t>PR_TO_PO_DAYS</t>
  </si>
  <si>
    <t>Avg PR-to-PO Time (days)</t>
  </si>
  <si>
    <t>days</t>
  </si>
  <si>
    <t>L129</t>
  </si>
  <si>
    <t>PO_APPROVAL_CYCLE</t>
  </si>
  <si>
    <t>PO Approval Cycle (days)</t>
  </si>
  <si>
    <t>L143</t>
  </si>
  <si>
    <t>PO_DELETION_MTD</t>
  </si>
  <si>
    <t>PO Deleted Line Items (MTD)</t>
  </si>
  <si>
    <t>L160</t>
  </si>
  <si>
    <t>PO_AMENDMENT_RATE</t>
  </si>
  <si>
    <t>PO Amendment Rate (%)</t>
  </si>
  <si>
    <t>%</t>
  </si>
  <si>
    <t>L172</t>
  </si>
  <si>
    <t>FINANCIAL</t>
  </si>
  <si>
    <t>TOTAL_PAYMENTS_YTD</t>
  </si>
  <si>
    <t>Total Payments (YTD)</t>
  </si>
  <si>
    <t>_financial()</t>
  </si>
  <si>
    <t>L697</t>
  </si>
  <si>
    <t>PAYMENT_TO_PO_RATIO</t>
  </si>
  <si>
    <t>Payment-to-PO Ratio (%)</t>
  </si>
  <si>
    <t>L705</t>
  </si>
  <si>
    <t>THREE_WAY_MATCH_RATE</t>
  </si>
  <si>
    <t>3-Way Match Success Rate (%)</t>
  </si>
  <si>
    <t>L415</t>
  </si>
  <si>
    <t>INVOICE_PROCESSING_DAYS</t>
  </si>
  <si>
    <t>Invoice Processing Time (days)</t>
  </si>
  <si>
    <t>L482</t>
  </si>
  <si>
    <t>ON_TIME_PAYMENT_RATE</t>
  </si>
  <si>
    <t>On-Time Payment Rate (%)</t>
  </si>
  <si>
    <t>L529</t>
  </si>
  <si>
    <t>OPEN_INVOICE_VALUE</t>
  </si>
  <si>
    <t>Open Invoice Aging (total + buckets)</t>
  </si>
  <si>
    <t>L578</t>
  </si>
  <si>
    <t>APPROVED_PR_COUNT</t>
  </si>
  <si>
    <t>Approved PR Count (YTD)</t>
  </si>
  <si>
    <t>L717</t>
  </si>
  <si>
    <t>EARLY_PAYMENT_COUNT</t>
  </si>
  <si>
    <t>Early Payments</t>
  </si>
  <si>
    <t>L685</t>
  </si>
  <si>
    <t>ON_TIME_PAYMENT_COUNT</t>
  </si>
  <si>
    <t>On-Time Payments</t>
  </si>
  <si>
    <t>L686</t>
  </si>
  <si>
    <t>LATE_PAYMENT_COUNT</t>
  </si>
  <si>
    <t>Late Payments</t>
  </si>
  <si>
    <t>L687</t>
  </si>
  <si>
    <t>LEADERSHIP</t>
  </si>
  <si>
    <t>TOTAL_SPEND_YTD</t>
  </si>
  <si>
    <t>Total Procurement Value (YTD)</t>
  </si>
  <si>
    <t>_leadership()</t>
  </si>
  <si>
    <t>L744</t>
  </si>
  <si>
    <t>MAVERICK_BUY_RATE</t>
  </si>
  <si>
    <t>Maverick PO Rate (%)</t>
  </si>
  <si>
    <t>L857</t>
  </si>
  <si>
    <t>E2E_CYCLE_TIME</t>
  </si>
  <si>
    <t>End-to-End P2P Cycle (days)</t>
  </si>
  <si>
    <t>L867</t>
  </si>
  <si>
    <t>VENDOR_CONCENTRATION</t>
  </si>
  <si>
    <t>Top-3 Vendor Spend Concentration (%)</t>
  </si>
  <si>
    <t>L877</t>
  </si>
  <si>
    <t>NEGOTIATION_SAVINGS</t>
  </si>
  <si>
    <t>Negotiation Savings YTD</t>
  </si>
  <si>
    <t>L955</t>
  </si>
  <si>
    <t>SUPPLY_RISK_SCORE</t>
  </si>
  <si>
    <t>Supply Chain Risk Score</t>
  </si>
  <si>
    <t>score 0-100</t>
  </si>
  <si>
    <t>L967</t>
  </si>
  <si>
    <t>SOD_CONFLICT_COUNT</t>
  </si>
  <si>
    <t>SOD Conflict Count (All 4 types)</t>
  </si>
  <si>
    <t>L1046</t>
  </si>
  <si>
    <t>High-Value PO Count (Leadership)</t>
  </si>
  <si>
    <t>VENDOR</t>
  </si>
  <si>
    <t>ACTIVE_VENDOR_COUNT</t>
  </si>
  <si>
    <t>Active Vendor Count</t>
  </si>
  <si>
    <t>_vendor()</t>
  </si>
  <si>
    <t>L1223</t>
  </si>
  <si>
    <t>VENDOR_COMPLIANCE_RATE</t>
  </si>
  <si>
    <t>Vendor Compliance Rate (%)</t>
  </si>
  <si>
    <t>L1387</t>
  </si>
  <si>
    <t>VENDOR_DELIVERY_DAYS</t>
  </si>
  <si>
    <t>Avg Vendor Delivery Lead Time (days)</t>
  </si>
  <si>
    <t>L1282</t>
  </si>
  <si>
    <t>AVG_DELIVERY_DELAY</t>
  </si>
  <si>
    <t>Avg Delivery Delay (late only, days)</t>
  </si>
  <si>
    <t>L1331</t>
  </si>
  <si>
    <t>BLOCKED_VENDOR_COUNT</t>
  </si>
  <si>
    <t>Blocked Vendor Count</t>
  </si>
  <si>
    <t>L1372</t>
  </si>
  <si>
    <t>VENDOR_MASTER_CHANGES</t>
  </si>
  <si>
    <t>Vendor Master Changes (MTD)</t>
  </si>
  <si>
    <t>L1401</t>
  </si>
  <si>
    <t>UTILIZATION</t>
  </si>
  <si>
    <t>CAPEX_SPEND_YTD</t>
  </si>
  <si>
    <t>Total CAPEX Spend (YTD)</t>
  </si>
  <si>
    <t>_utilization()</t>
  </si>
  <si>
    <t>L1754</t>
  </si>
  <si>
    <t>OPEX_SPEND_YTD</t>
  </si>
  <si>
    <t>Total OPEX Spend (YTD)</t>
  </si>
  <si>
    <t>L1762</t>
  </si>
  <si>
    <t>CAPEX_PCT</t>
  </si>
  <si>
    <t>CAPEX as % of Total Spend</t>
  </si>
  <si>
    <t>L1769</t>
  </si>
  <si>
    <t>OPEX_PCT</t>
  </si>
  <si>
    <t>OPEX as % of Total Spend</t>
  </si>
  <si>
    <t>L1773</t>
  </si>
  <si>
    <t>CAPEX_PO_COUNT</t>
  </si>
  <si>
    <t>CAPEX PO Count (YTD)</t>
  </si>
  <si>
    <t>L1777</t>
  </si>
  <si>
    <t>OPEX_PO_COUNT</t>
  </si>
  <si>
    <t>OPEX PO Count (YTD)</t>
  </si>
  <si>
    <t>L1784</t>
  </si>
  <si>
    <t>CAPEX_AVG_PO_VALUE</t>
  </si>
  <si>
    <t>Avg CAPEX PO Value</t>
  </si>
  <si>
    <t>L1791</t>
  </si>
  <si>
    <t>OPEX_AVG_PO_VALUE</t>
  </si>
  <si>
    <t>Avg OPEX PO Value</t>
  </si>
  <si>
    <t>L1798</t>
  </si>
  <si>
    <t>CAPEX_PENDING_VALUE</t>
  </si>
  <si>
    <t>CAPEX Pending Delivery</t>
  </si>
  <si>
    <t>L1805</t>
  </si>
  <si>
    <t>OPEX_PENDING_VALUE</t>
  </si>
  <si>
    <t>OPEX Pending Delivery</t>
  </si>
  <si>
    <t>L1813</t>
  </si>
  <si>
    <t>SUMMARY_COUNTS</t>
  </si>
  <si>
    <t>P2P Summary Counts (JSON)</t>
  </si>
  <si>
    <t>json</t>
  </si>
  <si>
    <t>L1178</t>
  </si>
  <si>
    <t>VENDOR_BREAKDOWN</t>
  </si>
  <si>
    <t>Vendor Health Breakdown (JSON)</t>
  </si>
  <si>
    <t>L1271</t>
  </si>
  <si>
    <t>TOP_VENDOR_SPEND</t>
  </si>
  <si>
    <t>Top-10 Vendor Spend Share (JSON)</t>
  </si>
  <si>
    <t>L1366</t>
  </si>
  <si>
    <t>Procurement Dashboard — KPI Reference (Frontend-Validated)</t>
  </si>
  <si>
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</si>
  <si>
    <t>KPI Label (Frontend)</t>
  </si>
  <si>
    <t>Short Explanation</t>
  </si>
  <si>
    <t>Formula / Logic</t>
  </si>
  <si>
    <t>SQL Query (from kpi_engine.py)</t>
  </si>
  <si>
    <t>Sum of net order value for all active POs created in the current month. Uses COALESCE(created_on, document_date) so both ERDAT and BEDAT SAP fields work. Deleted lines (L or X) excluded.</t>
  </si>
  <si>
    <t>SUM(net_order_value) WHERE created_on &gt;= MTD_START AND NOT_DELETED</t>
  </si>
  <si>
    <t>SELECT SUM(CAST(net_order_value AS REAL))
FROM po_dump
WHERE (deletion_indicator IS NULL OR deletion_indicator NOT IN ('L','X'))
  AND COALESCE(NULLIF(created_on,''), document_date) &gt;= {MTD}</t>
  </si>
  <si>
    <t>Distinct purchasing documents that are not delivery-complete and not deleted. Delivery-complete flag = ELIKZ in SAP EKPO. Tells how many POs are still open/actionable.</t>
  </si>
  <si>
    <t>COUNT(DISTINCT purchasing_document) WHERE delivery_completed blank AND NOT_DELETED</t>
  </si>
  <si>
    <t>SELECT COUNT(DISTINCT purchasing_document)
FROM po_dump
WHERE (deletion_indicator IS NULL OR deletion_indicator NOT IN ('L','X'))
  AND (delivery_completed IS NULL OR delivery_completed = '')</t>
  </si>
  <si>
    <t>Count of distinct POs whose net_order_value exceeds the configurable threshold. Threshold stored in kpi_config table (key=HIGH_VALUE_PO_THRESHOLD, default ₹1 Cr). Helps flag procurements needing higher-level approval.</t>
  </si>
  <si>
    <t>COUNT(DISTINCT purchasing_document) WHERE net_order_value &gt; threshold AND NOT_DELETED</t>
  </si>
  <si>
    <t>SELECT COUNT(DISTINCT purchasing_document)
FROM po_dump
WHERE (deletion_indicator IS NULL OR deletion_indicator NOT IN ('L','X'))
  AND CAST(net_order_value AS REAL) &gt; {high_value_threshold}
-- threshold read from kpi_config: HIGH_VALUE_PO_THRESHOLD (default 10000000)</t>
  </si>
  <si>
    <t>Released PR line items that have been open for more than 7 days with no corresponding PO. Released = release_status LIKE 'X%'. Uses ref_date (max PO document_date) not CURRENT_DATE so historical datasets work correctly. Excludes deleted PRs.</t>
  </si>
  <si>
    <t>COUNT(released PR lines WHERE age &gt; 7d AND no matching po_dump row)</t>
  </si>
  <si>
    <t>SELECT COUNT(DISTINCT pr.purchase_requisition || '|' || pr.item_of_requisition)
FROM pr_dump pr
WHERE pr.release_status LIKE 'X%'
  AND (pr.deletion_indicator IS NULL OR pr.deletion_indicator = '')
  AND pr.release_date IS NOT NULL
  AND ('{ref_date}'::DATE - pr.release_date::DATE) &gt; 7
  AND NOT EXISTS (
      SELECT 1 FROM po_dump po
      WHERE po.purchase_requisition = pr.purchase_requisition
        AND po.item_of_requisition  = pr.item_of_requisition
  )</t>
  </si>
  <si>
    <t>Average number of days between PR creation and the linked PO creation. Pre-computed during ETL and stored in pr_po_grn_invoice.pr_to_po_days. Negative and null values excluded. Measures procurement responsiveness.</t>
  </si>
  <si>
    <t>AVG(pr_to_po_days) FROM pr_po_grn_invoice WHERE pr_to_po_days &gt;= 0</t>
  </si>
  <si>
    <t>SELECT AVG(CAST(pr_to_po_days AS REAL))
FROM pr_po_grn_invoice
WHERE pr_to_po_days IS NOT NULL
  AND pr_to_po_days &gt;= 0
  AND purchase_requisition IS NOT NULL
  AND purchasing_document  IS NOT NULL</t>
  </si>
  <si>
    <t>Average days from PO creation (ERDAT) to the date it was released/approved. Approval event sourced from change_log where object_class='EINKBELEG', field_name='FRGZU' (release zone), new_value LIKE 'X%'. Only counts POs with release_indicator LIKE 'X%'.</t>
  </si>
  <si>
    <t>AVG(change_log.change_date - po_dump.created_on) WHERE FRGZU field set to X</t>
  </si>
  <si>
    <t>SELECT AVG((cl.change_date::DATE - po.created_on::DATE)::FLOAT)
FROM po_dump po
JOIN change_log cl
  ON  cl.object_id        = po.purchasing_document
 AND  cl.object_class     = 'EINKBELEG'
 AND  cl.field_name       = 'FRGZU'
 AND  cl.change_indicator IN ('E', 'U')
 AND  cl.new_value        LIKE 'X%'
WHERE po.release_indicator LIKE 'X%'
  AND (po.deletion_indicator IS NULL OR po.deletion_indicator NOT IN ('L', 'X'))
  AND po.created_on IS NOT NULL AND po.created_on != ''</t>
  </si>
  <si>
    <t>Count of distinct PO line items (doc + item) with deletion_indicator='L' created in the current month. Item-level deletion (SAP EKPO-LOEKZ='L'). Elevated count signals process issues or vendor problems.</t>
  </si>
  <si>
    <t>COUNT(DISTINCT purchasing_document||'|'||item) WHERE deletion_indicator='L' AND created &gt;= MTD</t>
  </si>
  <si>
    <t>SELECT COUNT(DISTINCT purchasing_document || '|' || item)
FROM po_dump
WHERE deletion_indicator = 'L'
  AND COALESCE(NULLIF(created_on,''), document_date) &gt;= {MTD}</t>
  </si>
  <si>
    <t>Percentage of active PO lines that have at least one post-creation change. Amendments detected via change_log entries for key fields: MATNR (material), NETPR (price), NETWR (value), MENGE (quantity). High rate may indicate poor specification quality at PR stage.</t>
  </si>
  <si>
    <t>-- Numerator: PO lines with at least one key field change
SELECT COUNT(DISTINCT po.purchasing_document || '|' || po.item)
FROM po_dump po
JOIN change_log cl
  ON  cl.object_id        = po.purchasing_document
 AND  cl.object_class     = 'EINKBELEG'
 AND  cl.change_indicator IN ('E', 'U')
 AND  cl.field_name       IN ('MATNR', 'NETPR', 'NETWR', 'MENGE')
WHERE (po.deletion_indicator IS NULL OR po.deletion_indicator NOT IN ('L', 'X'))
-- Denominator: all active PO lines
SELECT COUNT(DISTINCT purchasing_document || '|' || item) FROM po_dump
WHERE (deletion_indicator IS NULL OR deletion_indicator NOT IN ('L','X'))
-- Rate = Numerator / Denominator × 100</t>
  </si>
  <si>
    <t>Financial Dashboard — KPI Reference (Frontend-Validated)</t>
  </si>
  <si>
    <t>Sum of all payment amounts from payment_dump since FY start. Represents actual cash outflow (not invoiced/accrued amount). No cancellation filter — payment_dump contains only completed payments.</t>
  </si>
  <si>
    <t>SUM(amount_local_ccy) FROM payment_dump WHERE posting_date &gt;= FY</t>
  </si>
  <si>
    <t>SELECT SUM(CAST(amount_local_ccy AS REAL))
FROM payment_dump
WHERE posting_date &gt;= {FY}</t>
  </si>
  <si>
    <t>Total payments YTD as a percentage of total PO value YTD. Shows what fraction of committed spend has actually been paid. High ratio = fast payment cycle; low = significant outstanding liabilities.</t>
  </si>
  <si>
    <t>-- Numerator: Total Payments YTD (see TOTAL_PAYMENTS_YTD)
SELECT SUM(CAST(amount_local_ccy AS REAL)) FROM payment_dump WHERE posting_date &gt;= {FY}
-- Denominator: Total PO Value YTD
SELECT SUM(CAST(net_order_value AS REAL)) FROM po_dump
WHERE (deletion_indicator IS NULL OR deletion_indicator NOT IN ('L','X'))
  AND document_date &gt;= {FY}
-- Ratio = Numerator / Denominator × 100</t>
  </si>
  <si>
    <t>% of PO lines where PO, GRN, and Invoice quantities (materials) or amounts (services) match within a 5% tolerance. All three legs must match: PO vs GRN, PO vs Invoice, GRN vs Invoice. Material_type blank = service item (amount-based); else quantity-based.</t>
  </si>
  <si>
    <t>WITH po AS (
    SELECT purchasing_document, item,
           CAST(order_quantity  AS REAL) AS po_qty,
           CAST(net_order_value AS REAL) AS po_amt,
           CASE WHEN material_type IS NOT NULL AND material_type != ''
                THEN 'MATERIAL' ELSE 'SERVICE' END AS item_type
    FROM po_dump
    WHERE (deletion_indicator IS NULL OR deletion_indicator NOT IN ('L','X'))
),
grn AS (
    SELECT purchasing_document, item,
           SUM(CAST(quantity AS REAL)
               * CASE WHEN debit_credit_ind='S' THEN 1.0 ELSE -1.0 END) AS grn_qty,
           SUM(CAST(amount_local_ccy AS REAL)
               * CASE WHEN debit_credit_ind='S' THEN 1.0 ELSE -1.0 END) AS grn_amt
    FROM grn_dump GROUP BY purchasing_document, item
),
inv AS (
    SELECT purchasing_document, item,
           SUM(CAST(quantity AS REAL)
               * CASE WHEN debit_credit_ind='S' THEN 1.0 ELSE -1.0 END) AS inv_qty,
           SUM(CAST(amount_local_ccy AS REAL)
               * CASE WHEN debit_credit_ind='S' THEN 1.0 ELSE -1.0 END) AS inv_amt
    FROM po_invoice_dump GROUP BY purchasing_document, item
),
combined AS (
    SELECT po.item_type, po.po_qty, po.po_amt,
           COALESCE(grn.grn_qty,0) AS grn_qty, COALESCE(grn.grn_amt,0) AS grn_amt,
           COALESCE(inv.inv_qty,0) AS inv_qty, COALESCE(inv.inv_amt,0) AS inv_amt
    FROM po
    JOIN inv ON inv.purchasing_document=po.purchasing_document AND inv.item=po.item
    LEFT JOIN grn ON grn.purchasing_document=po.purchasing_document AND grn.item=po.item
)
SELECT
    COUNT(CASE
        WHEN item_type='MATERIAL'
         AND ABS(grn_qty-po_qty)/NULLIF(ABS(po_qty),0) &lt;= 0.05
         AND ABS(inv_qty-po_qty)/NULLIF(ABS(po_qty),0) &lt;= 0.05
         AND ABS(inv_qty-grn_qty)/NULLIF(ABS(grn_qty),0) &lt;= 0.05 THEN 1
        WHEN item_type='SERVICE'
         AND ABS(grn_amt-po_amt)/NULLIF(ABS(po_amt),0) &lt;= 0.05
         AND ABS(inv_amt-po_amt)/NULLIF(ABS(po_amt),0) &lt;= 0.05
         AND ABS(inv_amt-grn_amt)/NULLIF(ABS(grn_amt),0) &lt;= 0.05 THEN 1
    END) * 100.0 / NULLIF(COUNT(*), 0)
FROM combined</t>
  </si>
  <si>
    <t>Average days from vendor invoice date to payment clearing date. Cancelled invoices excluded (reverse_invoice field). Reversed payments excluded via net-zero check. Join: payment_dump.cleared_invoice = invoice_dump.invoice_doc.</t>
  </si>
  <si>
    <t>AVG(payment.clearing_date - invoice.vendor_invoice_date)  |  Cancelled/reversed excluded</t>
  </si>
  <si>
    <t>WITH cancelled_inv AS (
    SELECT DISTINCT reverse_invoice AS doc FROM invoice_dump
    WHERE  reverse_invoice IS NOT NULL AND reverse_invoice != ''
),
valid_inv AS (
    SELECT company_code, vendor, invoice_doc, vendor_invoice_date FROM invoice_dump
    WHERE  vendor_invoice_date IS NOT NULL
      AND  (reverse_invoice IS NULL OR reverse_invoice = '')
      AND  invoice_doc NOT IN (SELECT doc FROM cancelled_inv)
),
noncancelled_pay AS (
    SELECT company_code, vendor, payment_doc FROM payment_dump
    GROUP  BY company_code, vendor, payment_doc
    HAVING ABS(SUM(CAST(amount_local_ccy AS REAL)
               * CASE WHEN debit_credit_ind='S' THEN 1.0 ELSE -1.0 END)) &gt; 0.005
),
valid_pay AS (
    SELECT pd.company_code, pd.vendor, pd.clearing_date, pd.cleared_invoice
    FROM   payment_dump pd
    JOIN   noncancelled_pay nc ON nc.payment_doc=pd.payment_doc
       AND nc.company_code=pd.company_code AND nc.vendor=pd.vendor
    WHERE  pd.debit_credit_ind = 'S'
)
SELECT AVG((vp.clearing_date::DATE - vi.vendor_invoice_date::DATE)::FLOAT)
FROM   valid_inv vi
JOIN   valid_pay vp ON vp.cleared_invoice=vi.invoice_doc
   AND vp.company_code=vi.company_code AND vp.vendor=vi.vendor
WHERE  vp.clearing_date IS NOT NULL</t>
  </si>
  <si>
    <t>% of payments where clearing_date equals the due_date. due_date is the pre-computed column in invoice_dump (loaded from CSV). Same cancellation/reversal exclusions as Invoice Processing Days.</t>
  </si>
  <si>
    <t>-- Same CTEs as INVOICE_PROCESSING_DAYS (cancelled_inv, valid_inv with due_date, noncancelled_pay, valid_pay)
SELECT COUNT(CASE WHEN vp.clearing_date = vi.due_date THEN 1 END) * 100.0
       / NULLIF(COUNT(*), 0)
FROM   valid_inv vi
JOIN   valid_pay vp ON vp.cleared_invoice=vi.invoice_doc
   AND vp.company_code=vi.company_code AND vp.vendor=vi.vendor
WHERE  vp.clearing_date IS NOT NULL AND vi.due_date IS NOT NULL</t>
  </si>
  <si>
    <t>Total value of unpaid invoices (clearing_doc IS NULL or blank) for RE/KR document types. Buckets: not_yet_due | 0-10d | 10-20d | 20-30d | 30-60d | 60-90d | 90+d past due. value_numeric = total; value_text = JSON bucket breakdown used in chart.</t>
  </si>
  <si>
    <t>SUM(amount × dc_sign) WHERE clearing_doc blank AND doc_type IN (RE,KR)  |  Buckets by (today - due_date)</t>
  </si>
  <si>
    <t>WITH open_inv AS (
    SELECT
        CAST(amount_local_ccy AS REAL)
            * CASE WHEN debit_credit_ind='S' THEN 1.0 ELSE -1.0 END AS signed_amt,
        (CURRENT_DATE - due_date::DATE) AS days_overdue
    FROM invoice_dump
    WHERE (clearing_doc IS NULL OR clearing_doc = '')
      AND document_type IN ('RE','KR')
      AND due_date IS NOT NULL AND due_date != ''
      AND (reverse_invoice IS NULL OR reverse_invoice = '')
      AND invoice_doc NOT IN (
          SELECT DISTINCT reverse_invoice FROM invoice_dump
          WHERE reverse_invoice IS NOT NULL AND reverse_invoice != ''
      )
)
SELECT
    SUM(CASE WHEN days_overdue &lt;  0              THEN signed_amt ELSE 0 END) AS not_yet_due,
    SUM(CASE WHEN days_overdue BETWEEN  0 AND  9 THEN signed_amt ELSE 0 END) AS d0_10,
    SUM(CASE WHEN days_overdue BETWEEN 10 AND 19 THEN signed_amt ELSE 0 END) AS d10_20,
    SUM(CASE WHEN days_overdue BETWEEN 20 AND 29 THEN signed_amt ELSE 0 END) AS d20_30,
    SUM(CASE WHEN days_overdue BETWEEN 30 AND 59 THEN signed_amt ELSE 0 END) AS d30_60,
    SUM(CASE WHEN days_overdue BETWEEN 60 AND 89 THEN signed_amt ELSE 0 END) AS d60_90,
    SUM(CASE WHEN days_overdue &gt;= 90             THEN signed_amt ELSE 0 END) AS d90plus,
    SUM(signed_amt)                                                           AS total
FROM open_inv</t>
  </si>
  <si>
    <t>Distinct approved PR line items (PR doc + item) where release_status is fully released (IN 'X','XX','XXX','XXXX','XXXXX') and release_date is in the current FY. Measures purchasing demand fulfilled through approved channels.</t>
  </si>
  <si>
    <t>COUNT(DISTINCT purchase_requisition||'|'||item) WHERE release_status IN (X/XX...) AND release_date &gt;= FY</t>
  </si>
  <si>
    <t>SELECT COUNT(DISTINCT purchase_requisition || '|' || item_of_requisition)
FROM pr_dump
WHERE release_status IN ('X','XX','XXX','XXXX','XXXXX')
  AND (deletion_indicator IS NULL OR deletion_indicator = '')
  AND release_date &gt;= {FY}</t>
  </si>
  <si>
    <t>Count of payments where clearing_date &lt; due_date (paid before due date). Sourced from F8 Payment Timing block in kpi_engine._financial(). value_text in PAYMENT_TIMING_SUMMARY JSON also has avg_days_early.</t>
  </si>
  <si>
    <t>COUNT(clearing_date &lt; due_date) — part of PAYMENT_TIMING_SUMMARY calculation</t>
  </si>
  <si>
    <t>-- Part of F8 block — see PAYMENT_TIMING_SUMMARY for full CTE chain
SELECT COUNT(CASE WHEN day_diff &lt; 0 THEN 1 END) AS early_count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</si>
  <si>
    <t>Count of payments where clearing_date = due_date exactly (paid on due date).</t>
  </si>
  <si>
    <t>COUNT(clearing_date = due_date) — part of PAYMENT_TIMING_SUMMARY calculation</t>
  </si>
  <si>
    <t>-- Part of F8 block
SELECT COUNT(CASE WHEN day_diff = 0 THEN 1 END) AS on_time_count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</si>
  <si>
    <t>Count of payments where clearing_date &gt; due_date (paid after due date). High count signals cash flow or approval bottlenecks.</t>
  </si>
  <si>
    <t>COUNT(clearing_date &gt; due_date) — part of PAYMENT_TIMING_SUMMARY calculation</t>
  </si>
  <si>
    <t>-- Part of F8 block
SELECT COUNT(CASE WHEN day_diff &gt; 0 THEN 1 END) AS late_count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
-- F8 full query also returns avg_days_early, avg_days_late, total
-- stored as PAYMENT_TIMING_SUMMARY in value_text JSON</t>
  </si>
  <si>
    <t>Leadership Dashboard — KPI Reference (Frontend-Validated)</t>
  </si>
  <si>
    <t>Sum of net_order_value for all POs created since FY start. Uses deletion_indicator &lt;&gt; 'L' (not X) to include cancelled-but-not-item-deleted POs. Also returns total_count, released_count, non_released_count in value_text JSON.</t>
  </si>
  <si>
    <t>SUM(net_order_value) WHERE created_on &gt;= FY AND deletion_indicator &lt;&gt; 'L'</t>
  </si>
  <si>
    <t>SELECT
    SUM(CAST(net_order_value AS REAL))              AS total_value,
    COUNT(DISTINCT purchasing_document)             AS total_count,
    COUNT(DISTINCT CASE WHEN release_indicator LIKE 'X%' THEN purchasing_document END) AS released_count,
    COUNT(DISTINCT CASE WHEN (release_indicator IS NULL OR release_indicator='')
                         THEN purchasing_document END)                                  AS non_released_count
FROM po_dump
WHERE (deletion_indicator IS NULL OR deletion_indicator &lt;&gt; 'L')
  AND created_on &gt;= {FY}
  AND created_on &lt;= CURRENT_DATE::TEXT</t>
  </si>
  <si>
    <t>% of PO lines where is_maverick=1 (no upstream PR). is_maverick pre-computed in ETL: 1 when purchase_requisition IS NULL or blank. Measures off-contract / unapproved procurement behaviour.</t>
  </si>
  <si>
    <t>SELECT COUNT(CASE WHEN is_maverick = 1 THEN 1 END) * 100.0
       / NULLIF(COUNT(*), 0)
FROM pr_po_grn_invoice
WHERE purchasing_document IS NOT NULL</t>
  </si>
  <si>
    <t>Average days from PR creation to final invoice posting. Pre-computed in ETL as total_cycle_days = invoice_posting_date - PR.created_on. Zero/null excluded. Measures overall P2P process speed.</t>
  </si>
  <si>
    <t>AVG(total_cycle_days) FROM pr_po_grn_invoice WHERE total_cycle_days &gt; 0</t>
  </si>
  <si>
    <t>SELECT AVG(CAST(total_cycle_days AS REAL))
FROM pr_po_grn_invoice
WHERE total_cycle_days IS NOT NULL AND total_cycle_days &gt; 0</t>
  </si>
  <si>
    <t>% of total PO spend going to the top 3 vendors by spend. Top 10 vendor breakdown stored in value_text JSON for chart. High concentration = supply chain risk.</t>
  </si>
  <si>
    <t>-- Step 1: Total spend
SELECT SUM(CAST(net_order_value AS REAL)) FROM po_dump
WHERE (deletion_indicator IS NULL OR deletion_indicator &lt;&gt; 'L')
-- Step 2: Top 10 vendors by spend
SELECT po.vendor,
       COALESCE(MIN(vm.vendor_name), MIN(po.vendor_name), po.vendor) AS name,
       SUM(CAST(po.net_order_value AS REAL)) AS spend
FROM po_dump po
LEFT JOIN vendor_master vm ON po.vendor = vm.vendor
WHERE (po.deletion_indicator IS NULL OR po.deletion_indicator &lt;&gt; 'L')
GROUP BY po.vendor ORDER BY spend DESC LIMIT 10
-- Concentration = SUM(spend rows 1-3) / total_spend × 100</t>
  </si>
  <si>
    <t>Sum of (PR valuation price - PO net price) × PO quantity for lines where savings &gt; 0. Captures price reduction achieved during negotiation from PR to PO stage. Only positive savings counted (losses not included).</t>
  </si>
  <si>
    <t>SELECT SUM(
    (CAST(f.pr_value AS REAL) - CAST(f.po_net_price AS REAL))
    * CAST(f.po_quantity AS REAL)
)
FROM pr_po_grn_invoice f
WHERE f.pr_value     IS NOT NULL
  AND f.po_net_price IS NOT NULL
  AND (CAST(f.pr_value AS REAL) - CAST(f.po_net_price AS REAL)) &gt; 0</t>
  </si>
  <si>
    <t>Composite risk index = 0.4 × Vendor_Concentration% + 0.3 × Maverick_Rate% + 0.3 × Anomaly_Rate%. Anomaly_Rate = process_mining_events with anomaly_count &gt; 0 / total events × 100. Higher score = higher supply chain risk.</t>
  </si>
  <si>
    <t>-- Component 1: vendor concentration (VENDOR_CONCENTRATION value)
-- Component 2: maverick rate (MAVERICK_BUY_RATE value)
-- Component 3: anomaly rate
SELECT
    COUNT(CASE WHEN anomaly_count &gt; 0 THEN 1 END) * 100.0
    / NULLIF(COUNT(*), 0) AS anomaly_rate
FROM process_mining_events
-- Final: SUPPLY_RISK_SCORE = 0.4×conc_pct + 0.3×mav_pct + 0.3×anomaly_pct</t>
  </si>
  <si>
    <t>Total Segregation of Duties conflicts across all 4 control scenarios: (1) PO creator = PO releaser, (2) PO creator = GRN poster, (3) GRN poster = invoice creator, (4) invoice creator = payment processor. = sum of SOD_PO_CREATE_RELEASE + SOD_PO_GRN + SOD_GRN_INVOICE + SOD_INVOICE_PAYMENT.</t>
  </si>
  <si>
    <t>-- SOD Type 1: PO creator = PO releaser (same user)
SELECT COUNT(DISTINCT po.purchasing_document)
FROM po_dump po JOIN change_log cl ON cl.object_id = po.purchasing_document
WHERE cl.object_class='EINKBELEG' AND cl.table_name='EKKO'
  AND cl.field_name='FRGZU' AND cl.change_indicator IN ('E','U')
  AND cl.new_value='X' AND cl.username = po.created_by
  AND (po.deletion_indicator IS NULL OR po.deletion_indicator = '')
-- SOD Type 2: PO creator = GRN poster
SELECT COUNT(DISTINCT po.purchasing_document || '|' || po.item)
FROM po_dump po JOIN grn_dump grn ON grn.purchasing_document=po.purchasing_document AND grn.item=po.item
WHERE po.created_by = grn.created_by AND grn.debit_credit_ind='S'
  AND (po.deletion_indicator IS NULL OR po.deletion_indicator = '')
-- SOD Type 3: GRN poster = invoice creator
SELECT COUNT(DISTINCT grn.material_document)
FROM grn_dump grn JOIN po_invoice_dump inv ON inv.purchasing_document=grn.purchasing_document AND inv.item=grn.item
WHERE grn.created_by=inv.created_by AND grn.debit_credit_ind='S' AND inv.debit_credit_ind='S'
-- SOD Type 4: invoice creator = payment processor
SELECT COUNT(DISTINCT i.invoice_doc)
FROM invoice_dump i JOIN payment_dump p
  ON p.company_code=i.company_code AND p.vendor=i.vendor AND p.cleared_invoice=i.invoice_doc
WHERE i.created_by=p.created_by AND i.document_type IN ('RE','KR')
  AND (i.reverse_invoice IS NULL OR i.reverse_invoice='')
  AND p.debit_credit_ind='S'
-- Total = sum of all 4 counts</t>
  </si>
  <si>
    <t>Same logic as Procurement dashboard HIGH_VALUE_PO_COUNT — distinct POs above threshold. Threshold from kpi_config (HIGH_VALUE_PO_THRESHOLD). Shown in Leadership for executive-level monitoring.</t>
  </si>
  <si>
    <t>SELECT COUNT(DISTINCT purchasing_document)
FROM po_dump
WHERE (deletion_indicator IS NULL OR deletion_indicator NOT IN ('L','X'))
  AND CAST(net_order_value AS REAL) &gt; {high_value_threshold}
-- threshold = HIGH_VALUE_PO_THRESHOLD from kpi_config</t>
  </si>
  <si>
    <t>JSON object with 10 pipeline counters rendered in the 'P2P Summary Counts' panel: approved_pr, approved_po, grn_lines, invoice_lines, payments (Pipeline Health); po_without_pr, one_time_vendors, po_no_contract, duplicate_invoices, sod_conflicts (Risk &amp; Exceptions). Stored in value_text; value_numeric is NULL.</t>
  </si>
  <si>
    <t>-- 10 sub-queries assembled into JSON in Python (_leadership function):
-- approved_pr
SELECT COUNT(DISTINCT purchase_requisition || '|' || item_of_requisition)
FROM pr_dump WHERE release_status IN ('X','XX','XXX','XXXX','XXXXX')
-- approved_po
SELECT COUNT(DISTINCT purchasing_document || '|' || item)
FROM po_dump WHERE release_indicator = 'X' AND (deletion_indicator IS NULL OR deletion_indicator = '')
-- grn_lines
SELECT COUNT(*) FROM grn_dump WHERE debit_credit_ind = 'S'
-- invoice_lines
SELECT COUNT(*) FROM invoice_dump WHERE document_type IN ('RE','KR') AND CAST(amount_local_ccy AS REAL) &gt; 0
-- payments
SELECT COUNT(*) FROM payment_dump
-- po_without_pr (Maverick POs)
SELECT COUNT(DISTINCT purchasing_document) FROM po_dump
WHERE (purchase_requisition IS NULL OR purchase_requisition = '')
  AND (deletion_indicator IS NULL OR deletion_indicator = '')
-- one_time_vendors
SELECT COUNT(*) FROM vendor_master WHERE UPPER(vendor_type) = 'ONE_TIME'
-- po_no_contract
SELECT COUNT(*) FROM po_dump
WHERE (contract_number IS NULL OR contract_number = '')
  AND (deletion_indicator IS NULL OR deletion_indicator NOT IN ('L','X'))
-- duplicate_invoices (= DUPLICATE_INVOICE_COUNT l9)
SELECT SUM(cnt - 1) FROM (
    SELECT COUNT(DISTINCT invoice_doc) AS cnt FROM invoice_dump
    WHERE document_type IN ('RE','KR')
      AND (reverse_invoice IS NULL OR reverse_invoice = '')
      AND invoice_doc NOT IN (
          SELECT DISTINCT reverse_invoice FROM invoice_dump
          WHERE reverse_invoice IS NOT NULL AND reverse_invoice != ''
      )
    GROUP BY company_code, vendor_invoice_ref, CAST(amount_local_ccy AS REAL), vendor, posting_date
    HAVING COUNT(DISTINCT invoice_doc) &gt; 1
)
-- sod_conflicts (= SOD_CONFLICT_COUNT s7_total — sum of all 4 SOD types)
-- see SOD_CONFLICT_COUNT row for full SQL
-- JSON stored as: {"approved_pr":N,"approved_po":N,"grn_lines":N,"invoice_lines":N,
--  "payments":N,"po_without_pr":N,"one_time_vendors":N,"po_no_contract":N,
--  "duplicate_invoices":N,"sod_conflicts":N}</t>
  </si>
  <si>
    <t>Vendor Dashboard — KPI Reference (Frontend-Validated)</t>
  </si>
  <si>
    <t>Distinct vendors with all 5 SAP block flags clear: central_purchasing_block, central_posting_block, deletion_flag_central, payment_block (uses '*' not 'X' in SAP), posting_block_cc. Any block set = vendor excluded from active count.</t>
  </si>
  <si>
    <t>COUNT(DISTINCT vendor) WHERE all 5 block flags are NULL or not set</t>
  </si>
  <si>
    <t>SELECT COUNT(DISTINCT vendor)
FROM vendor_master
WHERE (central_purchasing_block IS NULL OR central_purchasing_block &lt;&gt; 'X')
  AND (central_posting_block    IS NULL OR central_posting_block    &lt;&gt; 'X')
  AND (deletion_flag_central    IS NULL OR deletion_flag_central    &lt;&gt; 'X')
  AND (payment_block            IS NULL OR payment_block            &lt;&gt; '*')
  AND (posting_block_cc         IS NULL OR posting_block_cc         &lt;&gt; 'X')
-- Note: payment_block SAP flag uses '*', not 'X' — important distinction</t>
  </si>
  <si>
    <t>% of vendors where all 5 block fields are completely blank/null (fully compliant). Stricter than ACTIVE_VENDOR_COUNT which only checks non-'X' values. value_text JSON from VENDOR_BREAKDOWN has full breakdown by type.</t>
  </si>
  <si>
    <t>-- Numerator: fully compliant vendors (all 5 flags blank)
SELECT COUNT(*) FROM vendor_master
WHERE (central_purchasing_block IS NULL OR central_purchasing_block = '')
  AND (central_posting_block    IS NULL OR central_posting_block    = '')
  AND (deletion_flag_central    IS NULL OR deletion_flag_central    = '')
  AND (payment_block            IS NULL OR payment_block            = '')
  AND (posting_block_cc         IS NULL OR posting_block_cc         = '')
-- Denominator
SELECT COUNT(*) FROM vendor_master
-- Compliance Rate = Numerator / Denominator × 100</t>
  </si>
  <si>
    <t>Average days between expected PO delivery date and actual first GRN entry date per vendor. Positive = late delivery; Negative = early. Uses MIN(grn.entry_date) as first receipt. value_text = top-25 vendor breakdown JSON.</t>
  </si>
  <si>
    <t>AVG(MIN(grn.entry_date) - po.delivery_date) per vendor  |  Negative=early, Positive=late</t>
  </si>
  <si>
    <t>WITH grn_first AS (
    SELECT purchasing_document, item,
           MIN(entry_date) AS first_grn_date
    FROM grn_dump
    WHERE debit_credit_ind = 'S'
      AND entry_date IS NOT NULL AND entry_date != ''
    GROUP BY purchasing_document, item
)
-- Overall average
SELECT ROUND(AVG((gf.first_grn_date::DATE - po.delivery_date::DATE)::FLOAT), 1)
FROM po_dump po
JOIN grn_first gf ON gf.purchasing_document=po.purchasing_document AND gf.item=po.item
WHERE (po.deletion_indicator IS NULL OR po.deletion_indicator NOT IN ('L','X'))
  AND po.delivery_date IS NOT NULL AND po.delivery_date != ''
-- Per-vendor top 25 (stored in value_text JSON):
-- GROUP BY po.vendor ORDER BY avg_days DESC LIMIT 25</t>
  </si>
  <si>
    <t>Average days that late deliveries exceeded expected delivery date. Only counts deliveries where GRN posting_date &gt; expected_delivery_date. Join: po_delivery_dump (expected date) + grn_dump (actual posting date).</t>
  </si>
  <si>
    <t>AVG(grn.posting_date - pod.expected_delivery_date) WHERE posting_date &gt; expected_delivery_date</t>
  </si>
  <si>
    <t>SELECT AVG((grn.posting_date::DATE - pod.expected_delivery_date::DATE)::FLOAT)
FROM po_delivery_dump pod
JOIN grn_dump grn
  ON grn.purchasing_document = pod.purchasing_document
 AND grn.item               = pod.item
WHERE grn.debit_credit_ind = 'S'
  AND grn.posting_date &gt; pod.expected_delivery_date</t>
  </si>
  <si>
    <t>Count of distinct vendors with ANY of 4 block flags set: central_purchasing_block='X', central_posting_block='X', payment_block='*', or posting_block_cc='X'. Any single flag = vendor is blocked.</t>
  </si>
  <si>
    <t>COUNT(DISTINCT vendor) WHERE any of 4 block fields is set</t>
  </si>
  <si>
    <t>SELECT COUNT(DISTINCT vendor) FROM vendor_master
WHERE (central_purchasing_block = 'X'
    OR central_posting_block    = 'X'
    OR payment_block            = '*'
    OR posting_block_cc         = 'X')</t>
  </si>
  <si>
    <t>Count of distinct vendor IDs changed in the current month. Sourced from change_log where object_class='KRED' (SAP vendor master object class). Spikes indicate potential unauthorized vendor data manipulation.</t>
  </si>
  <si>
    <t>COUNT(DISTINCT object_id) FROM change_log WHERE object_class='KRED' AND change_date &gt;= MTD</t>
  </si>
  <si>
    <t>SELECT COUNT(DISTINCT object_id)
FROM change_log
WHERE object_class = 'KRED'
  AND change_date &gt;= {MTD}
-- object_class 'KRED' = SAP vendor master (LFB1/LFA1/LFM1)</t>
  </si>
  <si>
    <t>JSON breakdown of vendor master data rendered in the 'Vendor Health Breakdown' section. Fields: active (3-block compliant), non_active (any block set), one_time, domestic, international, msme (msme_flag IN M/S), total, compliance_rate (%). 3-block compliance uses: central_purchasing_block, payment_block, posting_block_cc. value_numeric = compliance_rate; value_text = full JSON.</t>
  </si>
  <si>
    <t>SELECT
    COUNT(CASE WHEN (central_purchasing_block IS NULL OR central_purchasing_block &lt;&gt; 'X')
                 AND (payment_block            IS NULL OR payment_block            &lt;&gt; '*')
                 AND (posting_block_cc         IS NULL OR posting_block_cc         &lt;&gt; 'X')
               THEN 1 END)                                        AS active,
    COUNT(CASE WHEN central_purchasing_block = 'X'
                  OR payment_block           = '*'
                  OR posting_block_cc        = 'X'
               THEN 1 END)                                        AS non_active,
    COUNT(CASE WHEN UPPER(vendor_type) = 'ONE_TIME'      THEN 1 END) AS one_time,
    COUNT(CASE WHEN UPPER(vendor_type) = 'DOMESTIC'      THEN 1 END) AS domestic,
    COUNT(CASE WHEN UPPER(vendor_type) = 'INTERNATIONAL' THEN 1 END) AS international,
    COUNT(CASE WHEN msme_flag IN ('M','S')               THEN 1 END) AS msme,
    COUNT(*)                                                          AS total
FROM vendor_master
-- compliance_rate = active / total × 100 (computed in Python)
-- JSON: {"active":N,"non_active":N,"one_time":N,"domestic":N,
--         "international":N,"msme":N,"total":N,"compliance_rate":R}</t>
  </si>
  <si>
    <t>JSON array of top-10 vendors by total PO spend. Each entry: vendor (code), name, spend (INR), share_pct (% of total spend). Rendered as a bar/table chart in the Vendor dashboard. value_text only; value_numeric is NULL.</t>
  </si>
  <si>
    <t>-- Total spend (denominator)
SELECT SUM(CAST(net_order_value AS REAL)) FROM po_dump
WHERE (deletion_indicator IS NULL OR deletion_indicator NOT IN ('L','X'))
-- Top-10 vendors
SELECT po.vendor,
       COALESCE(MIN(vm.vendor_name), MIN(po.vendor_name), po.vendor) AS name,
       SUM(CAST(po.net_order_value AS REAL)) AS spend
FROM po_dump po
LEFT JOIN vendor_master vm ON po.vendor = vm.vendor
WHERE (po.deletion_indicator IS NULL OR po.deletion_indicator NOT IN ('L','X'))
GROUP BY po.vendor
ORDER BY spend DESC
LIMIT 10
-- share_pct = spend / total_spend × 100 (computed in Python per row)
-- JSON: [{"vendor":"V001","name":"ABC Ltd","spend":12345678.0,"share_pct":12.34}, ...]</t>
  </si>
  <si>
    <t>Utilization Dashboard — KPI Reference (Frontend-Validated)</t>
  </si>
  <si>
    <t>Sum of net_order_value for all active POs flagged as CAPEX since FY start. CAPEX_FLAG = UPPER(COALESCE(capex_opex_flag,'OPEX')) = 'CAPEX'. Unset capex_opex_flag defaults to OPEX via COALESCE.</t>
  </si>
  <si>
    <t>SUM(net_order_value) WHERE NOT_DELETED AND doc_date&gt;=FY AND CAPEX_FLAG</t>
  </si>
  <si>
    <t>SELECT SUM(CAST(net_order_value AS REAL)) FROM po_dump
WHERE (deletion_indicator IS NULL OR deletion_indicator NOT IN ('L','X'))
  AND document_date &gt;= {FY}
  AND UPPER(COALESCE(capex_opex_flag,'OPEX')) = 'CAPEX'</t>
  </si>
  <si>
    <t>Sum of net_order_value for all active POs flagged as OPEX since FY start. OPEX_FLAG = UPPER(COALESCE(capex_opex_flag,'OPEX')) = 'OPEX'. Default when flag is unset.</t>
  </si>
  <si>
    <t>SUM(net_order_value) WHERE NOT_DELETED AND doc_date&gt;=FY AND OPEX_FLAG</t>
  </si>
  <si>
    <t>SELECT SUM(CAST(net_order_value AS REAL)) FROM po_dump
WHERE (deletion_indicator IS NULL OR deletion_indicator NOT IN ('L','X'))
  AND document_date &gt;= {FY}
  AND UPPER(COALESCE(capex_opex_flag,'OPEX')) = 'OPEX'</t>
  </si>
  <si>
    <t>CAPEX spend as a percentage of combined CAPEX + OPEX spend YTD. Computed in Python: CAPEX_SPEND_YTD / (CAPEX + OPEX) × 100. No separate SQL — derived from U1 and U2.</t>
  </si>
  <si>
    <t>-- Derived in Python from U1 and U2:
capex_pct = round((u1 or 0) / ((u1 or 0) + (u2 or 0)) * 100, 1)
-- where u1 = CAPEX_SPEND_YTD, u2 = OPEX_SPEND_YTD</t>
  </si>
  <si>
    <t>OPEX spend as a percentage of combined CAPEX + OPEX spend YTD. Computed in Python: OPEX_SPEND_YTD / (CAPEX + OPEX) × 100.</t>
  </si>
  <si>
    <t>-- Derived in Python from U1 and U2:
opex_pct = round((u2 or 0) / ((u1 or 0) + (u2 or 0)) * 100, 1)
-- where u1 = CAPEX_SPEND_YTD, u2 = OPEX_SPEND_YTD</t>
  </si>
  <si>
    <t>Count of distinct CAPEX POs (purchasing_document) since FY start.</t>
  </si>
  <si>
    <t>COUNT(DISTINCT purchasing_document) WHERE NOT_DELETED AND doc_date&gt;=FY AND CAPEX_FLAG</t>
  </si>
  <si>
    <t>SELECT COUNT(DISTINCT purchasing_document) FROM po_dump
WHERE (deletion_indicator IS NULL OR deletion_indicator NOT IN ('L','X'))
  AND document_date &gt;= {FY}
  AND UPPER(COALESCE(capex_opex_flag,'OPEX')) = 'CAPEX'</t>
  </si>
  <si>
    <t>Count of distinct OPEX POs (purchasing_document) since FY start.</t>
  </si>
  <si>
    <t>COUNT(DISTINCT purchasing_document) WHERE NOT_DELETED AND doc_date&gt;=FY AND OPEX_FLAG</t>
  </si>
  <si>
    <t>SELECT COUNT(DISTINCT purchasing_document) FROM po_dump
WHERE (deletion_indicator IS NULL OR deletion_indicator NOT IN ('L','X'))
  AND document_date &gt;= {FY}
  AND UPPER(COALESCE(capex_opex_flag,'OPEX')) = 'OPEX'</t>
  </si>
  <si>
    <t>Average net_order_value per CAPEX PO across all time (not just YTD). Used to benchmark typical CAPEX commitment size.</t>
  </si>
  <si>
    <t>AVG(net_order_value) WHERE NOT_DELETED AND CAPEX_FLAG  [all time, no FY filter]</t>
  </si>
  <si>
    <t>SELECT AVG(CAST(net_order_value AS REAL)) FROM po_dump
WHERE (deletion_indicator IS NULL OR deletion_indicator NOT IN ('L','X'))
  AND UPPER(COALESCE(capex_opex_flag,'OPEX')) = 'CAPEX'</t>
  </si>
  <si>
    <t>Average net_order_value per OPEX PO across all time (not just YTD).</t>
  </si>
  <si>
    <t>AVG(net_order_value) WHERE NOT_DELETED AND OPEX_FLAG  [all time, no FY filter]</t>
  </si>
  <si>
    <t>SELECT AVG(CAST(net_order_value AS REAL)) FROM po_dump
WHERE (deletion_indicator IS NULL OR deletion_indicator NOT IN ('L','X'))
  AND UPPER(COALESCE(capex_opex_flag,'OPEX')) = 'OPEX'</t>
  </si>
  <si>
    <t>Sum of CAPEX PO value not yet delivery-complete (delivery_completed IS NULL or blank). Represents committed CAPEX spend still awaiting goods/services receipt.</t>
  </si>
  <si>
    <t>SUM(net_order_value) WHERE NOT_DELETED AND CAPEX_FLAG AND delivery_completed blank</t>
  </si>
  <si>
    <t>SELECT SUM(CAST(net_order_value AS REAL)) FROM po_dump
WHERE (deletion_indicator IS NULL OR deletion_indicator NOT IN ('L','X'))
  AND UPPER(COALESCE(capex_opex_flag,'OPEX')) = 'CAPEX'
  AND (delivery_completed IS NULL OR delivery_completed = '')</t>
  </si>
  <si>
    <t>Sum of OPEX PO value not yet delivery-complete.</t>
  </si>
  <si>
    <t>SUM(net_order_value) WHERE NOT_DELETED AND OPEX_FLAG AND delivery_completed blank</t>
  </si>
  <si>
    <t>SELECT SUM(CAST(net_order_value AS REAL)) FROM po_dump
WHERE (deletion_indicator IS NULL OR deletion_indicator NOT IN ('L','X'))
  AND UPPER(COALESCE(capex_opex_flag,'OPEX')) = 'OPEX'
  AND (delivery_completed IS NULL OR delivery_completed = '')</t>
  </si>
  <si>
    <t>=@TOTAL_PAYMENTS_YTD / SUM(@po_dump.net_order_value WHERE doc_date&gt;=@FY AND NOT_DELETED) * 100</t>
  </si>
  <si>
    <t>=COUNT(@clearing_date =@ due_date) / COUNT(all valid payments)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</si>
</sst>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sz val="9"/>
      <color rgb="FF222222"/>
      <name val="Calibri"/>
    </font>
    <font>
      <b/>
      <sz val="9"/>
      <color rgb="FF1F3864"/>
      <name val="Calibri"/>
    </font>
    <font>
      <b/>
      <sz val="9"/>
      <color rgb="FF1F2F4A"/>
      <name val="Calibri"/>
    </font>
    <font>
      <b/>
      <sz val="9"/>
      <color rgb="FF1A5276"/>
      <name val="Calibri"/>
    </font>
    <font>
      <b/>
      <sz val="9"/>
      <color rgb="FF4A235A"/>
      <name val="Calibri"/>
    </font>
    <font>
      <b/>
      <sz val="9"/>
      <color rgb="FF1B4F72"/>
      <name val="Calibri"/>
    </font>
    <font>
      <b/>
      <sz val="9"/>
      <color rgb="FF154360"/>
      <name val="Calibri"/>
    </font>
    <font>
      <b/>
      <sz val="13"/>
      <color rgb="FFFFFFFF"/>
      <name val="Calibri"/>
    </font>
    <font>
      <i/>
      <sz val="8"/>
      <color rgb="FF444444"/>
      <name val="Calibri"/>
    </font>
    <font>
      <b/>
      <sz val="9"/>
      <color rgb="FF1F3864"/>
      <name val="Courier New"/>
    </font>
    <font>
      <i/>
      <sz val="9"/>
      <color rgb="FF666666"/>
      <name val="Calibri"/>
    </font>
    <font>
      <i/>
      <sz val="9"/>
      <color rgb="FF333333"/>
      <name val="Calibri"/>
    </font>
    <font>
      <sz val="8"/>
      <color rgb="FF0D1B2A"/>
      <name val="Courier New"/>
    </font>
    <font>
      <b/>
      <sz val="9"/>
      <color rgb="FF1A5276"/>
      <name val="Courier New"/>
    </font>
    <font>
      <b/>
      <sz val="9"/>
      <color rgb="FF4A235A"/>
      <name val="Courier New"/>
    </font>
    <font>
      <b/>
      <sz val="9"/>
      <color rgb="FF1B4F72"/>
      <name val="Courier New"/>
    </font>
    <font>
      <b/>
      <sz val="9"/>
      <color rgb="FF154360"/>
      <name val="Courier New"/>
    </font>
  </fonts>
  <fills count="18">
    <fill>
      <patternFill patternType="none"/>
    </fill>
    <fill>
      <patternFill patternType="gray125"/>
    </fill>
    <fill>
      <patternFill patternType="solid">
        <fgColor rgb="FF1F2F4A"/>
      </patternFill>
    </fill>
    <fill>
      <patternFill patternType="solid">
        <fgColor rgb="FFE8EEF4"/>
      </patternFill>
    </fill>
    <fill>
      <patternFill patternType="solid">
        <fgColor rgb="FF004C97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1F3864"/>
      </patternFill>
    </fill>
    <fill>
      <patternFill patternType="solid">
        <fgColor rgb="FFF0F4F8"/>
      </patternFill>
    </fill>
    <fill>
      <patternFill patternType="solid">
        <fgColor rgb="FFD6E4F0"/>
      </patternFill>
    </fill>
    <fill>
      <patternFill patternType="solid">
        <fgColor rgb="FF1A5276"/>
      </patternFill>
    </fill>
    <fill>
      <patternFill patternType="solid">
        <fgColor rgb="FFD5F5E3"/>
      </patternFill>
    </fill>
    <fill>
      <patternFill patternType="solid">
        <fgColor rgb="FF4A235A"/>
      </patternFill>
    </fill>
    <fill>
      <patternFill patternType="solid">
        <fgColor rgb="FFF5EEF8"/>
      </patternFill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154360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/>
    </xf>
    <xf numFmtId="0" fontId="13" fillId="9" borderId="1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/>
    </xf>
    <xf numFmtId="0" fontId="17" fillId="5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  <xf numFmtId="0" fontId="16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0" fontId="18" fillId="13" borderId="1" xfId="0" applyFont="1" applyFill="1" applyBorder="1" applyAlignment="1">
      <alignment horizontal="left" vertical="top"/>
    </xf>
    <xf numFmtId="0" fontId="14" fillId="13" borderId="1" xfId="0" applyFont="1" applyFill="1" applyBorder="1" applyAlignment="1">
      <alignment horizontal="center" vertical="top"/>
    </xf>
    <xf numFmtId="0" fontId="4" fillId="13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center" vertical="top"/>
    </xf>
    <xf numFmtId="0" fontId="19" fillId="5" borderId="1" xfId="0" applyFont="1" applyFill="1" applyBorder="1" applyAlignment="1">
      <alignment horizontal="left" vertical="top"/>
    </xf>
    <xf numFmtId="0" fontId="4" fillId="15" borderId="1" xfId="0" applyFont="1" applyFill="1" applyBorder="1" applyAlignment="1">
      <alignment horizontal="left" vertical="top"/>
    </xf>
    <xf numFmtId="0" fontId="19" fillId="15" borderId="1" xfId="0" applyFont="1" applyFill="1" applyBorder="1" applyAlignment="1">
      <alignment horizontal="left" vertical="top"/>
    </xf>
    <xf numFmtId="0" fontId="14" fillId="15" borderId="1" xfId="0" applyFont="1" applyFill="1" applyBorder="1" applyAlignment="1">
      <alignment horizontal="center" vertical="top"/>
    </xf>
    <xf numFmtId="0" fontId="4" fillId="15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 wrapText="1"/>
    </xf>
    <xf numFmtId="0" fontId="16" fillId="15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center" vertical="top"/>
    </xf>
    <xf numFmtId="0" fontId="20" fillId="5" borderId="1" xfId="0" applyFont="1" applyFill="1" applyBorder="1" applyAlignment="1">
      <alignment horizontal="left" vertical="top"/>
    </xf>
    <xf numFmtId="0" fontId="4" fillId="17" borderId="1" xfId="0" applyFont="1" applyFill="1" applyBorder="1" applyAlignment="1">
      <alignment horizontal="left" vertical="top"/>
    </xf>
    <xf numFmtId="0" fontId="20" fillId="17" borderId="1" xfId="0" applyFont="1" applyFill="1" applyBorder="1" applyAlignment="1">
      <alignment horizontal="left" vertical="top"/>
    </xf>
    <xf numFmtId="0" fontId="14" fillId="17" borderId="1" xfId="0" applyFont="1" applyFill="1" applyBorder="1" applyAlignment="1">
      <alignment horizontal="center" vertical="top"/>
    </xf>
    <xf numFmtId="0" fontId="4" fillId="17" borderId="1" xfId="0" applyFont="1" applyFill="1" applyBorder="1" applyAlignment="1">
      <alignment horizontal="left" vertical="top" wrapText="1"/>
    </xf>
    <xf numFmtId="0" fontId="15" fillId="17" borderId="1" xfId="0" applyFont="1" applyFill="1" applyBorder="1" applyAlignment="1">
      <alignment horizontal="left" vertical="top" wrapText="1"/>
    </xf>
    <xf numFmtId="0" fontId="16" fillId="17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12" fillId="8" borderId="0" xfId="0" applyFont="1" applyFill="1" applyAlignment="1">
      <alignment horizontal="left" vertical="top"/>
    </xf>
    <xf numFmtId="0" fontId="11" fillId="7" borderId="0" xfId="0" applyFont="1" applyFill="1" applyAlignment="1">
      <alignment horizontal="center" vertical="top"/>
    </xf>
    <xf numFmtId="0" fontId="11" fillId="10" borderId="0" xfId="0" applyFont="1" applyFill="1" applyAlignment="1">
      <alignment horizontal="center" vertical="top"/>
    </xf>
    <xf numFmtId="0" fontId="11" fillId="12" borderId="0" xfId="0" applyFont="1" applyFill="1" applyAlignment="1">
      <alignment horizontal="center" vertical="top"/>
    </xf>
    <xf numFmtId="0" fontId="11" fillId="14" borderId="0" xfId="0" applyFont="1" applyFill="1" applyAlignment="1">
      <alignment horizontal="center" vertical="top"/>
    </xf>
    <xf numFmtId="0" fontId="11" fillId="16" borderId="0" xfId="0" applyFont="1" applyFill="1" applyAlignment="1">
      <alignment horizontal="center" vertical="top"/>
    </xf>
    <xf numFmtId="0" fontId="15" fillId="11" borderId="1" xfId="0" quotePrefix="1" applyFont="1" applyFill="1" applyBorder="1" applyAlignment="1">
      <alignment horizontal="left" vertical="top" wrapText="1"/>
    </xf>
    <xf numFmtId="0" fontId="15" fillId="5" borderId="1" xfId="0" quotePrefix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5" customWidth="1"/>
    <col min="2" max="2" width="17" customWidth="1"/>
    <col min="3" max="3" width="28" customWidth="1"/>
    <col min="4" max="4" width="36" customWidth="1"/>
    <col min="5" max="5" width="14" customWidth="1"/>
    <col min="6" max="6" width="28" customWidth="1"/>
    <col min="7" max="7" width="14" customWidth="1"/>
  </cols>
  <sheetData>
    <row r="1" spans="1:8" ht="34.049999999999997" customHeight="1" x14ac:dyDescent="0.3">
      <c r="A1" s="62" t="s">
        <v>0</v>
      </c>
      <c r="B1" s="61"/>
      <c r="C1" s="61"/>
      <c r="D1" s="61"/>
      <c r="E1" s="61"/>
      <c r="F1" s="61"/>
      <c r="G1" s="61"/>
      <c r="H1" s="61"/>
    </row>
    <row r="2" spans="1:8" ht="16.05" customHeight="1" x14ac:dyDescent="0.3">
      <c r="A2" s="60" t="s">
        <v>1</v>
      </c>
      <c r="B2" s="61"/>
      <c r="C2" s="61"/>
      <c r="D2" s="61"/>
      <c r="E2" s="61"/>
      <c r="F2" s="61"/>
      <c r="G2" s="61"/>
      <c r="H2" s="61"/>
    </row>
    <row r="4" spans="1:8" ht="16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8" x14ac:dyDescent="0.3">
      <c r="A5" s="2">
        <v>1</v>
      </c>
      <c r="B5" s="3" t="s">
        <v>9</v>
      </c>
      <c r="C5" s="4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8" x14ac:dyDescent="0.3">
      <c r="A6" s="5">
        <v>2</v>
      </c>
      <c r="B6" s="6" t="s">
        <v>9</v>
      </c>
      <c r="C6" s="7" t="s">
        <v>15</v>
      </c>
      <c r="D6" s="5" t="s">
        <v>16</v>
      </c>
      <c r="E6" s="5" t="s">
        <v>17</v>
      </c>
      <c r="F6" s="5" t="s">
        <v>13</v>
      </c>
      <c r="G6" s="5" t="s">
        <v>18</v>
      </c>
    </row>
    <row r="7" spans="1:8" x14ac:dyDescent="0.3">
      <c r="A7" s="2">
        <v>3</v>
      </c>
      <c r="B7" s="3" t="s">
        <v>9</v>
      </c>
      <c r="C7" s="4" t="s">
        <v>19</v>
      </c>
      <c r="D7" s="2" t="s">
        <v>20</v>
      </c>
      <c r="E7" s="2" t="s">
        <v>17</v>
      </c>
      <c r="F7" s="2" t="s">
        <v>13</v>
      </c>
      <c r="G7" s="2" t="s">
        <v>21</v>
      </c>
    </row>
    <row r="8" spans="1:8" x14ac:dyDescent="0.3">
      <c r="A8" s="5">
        <v>4</v>
      </c>
      <c r="B8" s="6" t="s">
        <v>9</v>
      </c>
      <c r="C8" s="7" t="s">
        <v>22</v>
      </c>
      <c r="D8" s="5" t="s">
        <v>23</v>
      </c>
      <c r="E8" s="5" t="s">
        <v>17</v>
      </c>
      <c r="F8" s="5" t="s">
        <v>13</v>
      </c>
      <c r="G8" s="5" t="s">
        <v>24</v>
      </c>
    </row>
    <row r="9" spans="1:8" x14ac:dyDescent="0.3">
      <c r="A9" s="2">
        <v>5</v>
      </c>
      <c r="B9" s="3" t="s">
        <v>9</v>
      </c>
      <c r="C9" s="4" t="s">
        <v>25</v>
      </c>
      <c r="D9" s="2" t="s">
        <v>26</v>
      </c>
      <c r="E9" s="2" t="s">
        <v>27</v>
      </c>
      <c r="F9" s="2" t="s">
        <v>13</v>
      </c>
      <c r="G9" s="2" t="s">
        <v>28</v>
      </c>
    </row>
    <row r="10" spans="1:8" x14ac:dyDescent="0.3">
      <c r="A10" s="5">
        <v>6</v>
      </c>
      <c r="B10" s="6" t="s">
        <v>9</v>
      </c>
      <c r="C10" s="7" t="s">
        <v>29</v>
      </c>
      <c r="D10" s="5" t="s">
        <v>30</v>
      </c>
      <c r="E10" s="5" t="s">
        <v>27</v>
      </c>
      <c r="F10" s="5" t="s">
        <v>13</v>
      </c>
      <c r="G10" s="5" t="s">
        <v>31</v>
      </c>
    </row>
    <row r="11" spans="1:8" x14ac:dyDescent="0.3">
      <c r="A11" s="2">
        <v>7</v>
      </c>
      <c r="B11" s="3" t="s">
        <v>9</v>
      </c>
      <c r="C11" s="4" t="s">
        <v>32</v>
      </c>
      <c r="D11" s="2" t="s">
        <v>33</v>
      </c>
      <c r="E11" s="2" t="s">
        <v>17</v>
      </c>
      <c r="F11" s="2" t="s">
        <v>13</v>
      </c>
      <c r="G11" s="2" t="s">
        <v>34</v>
      </c>
    </row>
    <row r="12" spans="1:8" x14ac:dyDescent="0.3">
      <c r="A12" s="5">
        <v>8</v>
      </c>
      <c r="B12" s="6" t="s">
        <v>9</v>
      </c>
      <c r="C12" s="7" t="s">
        <v>35</v>
      </c>
      <c r="D12" s="5" t="s">
        <v>36</v>
      </c>
      <c r="E12" s="5" t="s">
        <v>37</v>
      </c>
      <c r="F12" s="5" t="s">
        <v>13</v>
      </c>
      <c r="G12" s="5" t="s">
        <v>38</v>
      </c>
    </row>
    <row r="13" spans="1:8" x14ac:dyDescent="0.3">
      <c r="A13" s="2">
        <v>9</v>
      </c>
      <c r="B13" s="8" t="s">
        <v>39</v>
      </c>
      <c r="C13" s="4" t="s">
        <v>40</v>
      </c>
      <c r="D13" s="2" t="s">
        <v>41</v>
      </c>
      <c r="E13" s="2" t="s">
        <v>12</v>
      </c>
      <c r="F13" s="2" t="s">
        <v>42</v>
      </c>
      <c r="G13" s="2" t="s">
        <v>43</v>
      </c>
    </row>
    <row r="14" spans="1:8" x14ac:dyDescent="0.3">
      <c r="A14" s="5">
        <v>10</v>
      </c>
      <c r="B14" s="9" t="s">
        <v>39</v>
      </c>
      <c r="C14" s="7" t="s">
        <v>44</v>
      </c>
      <c r="D14" s="5" t="s">
        <v>45</v>
      </c>
      <c r="E14" s="5" t="s">
        <v>37</v>
      </c>
      <c r="F14" s="5" t="s">
        <v>42</v>
      </c>
      <c r="G14" s="5" t="s">
        <v>46</v>
      </c>
    </row>
    <row r="15" spans="1:8" x14ac:dyDescent="0.3">
      <c r="A15" s="2">
        <v>11</v>
      </c>
      <c r="B15" s="8" t="s">
        <v>39</v>
      </c>
      <c r="C15" s="4" t="s">
        <v>47</v>
      </c>
      <c r="D15" s="2" t="s">
        <v>48</v>
      </c>
      <c r="E15" s="2" t="s">
        <v>37</v>
      </c>
      <c r="F15" s="2" t="s">
        <v>42</v>
      </c>
      <c r="G15" s="2" t="s">
        <v>49</v>
      </c>
    </row>
    <row r="16" spans="1:8" x14ac:dyDescent="0.3">
      <c r="A16" s="5">
        <v>12</v>
      </c>
      <c r="B16" s="9" t="s">
        <v>39</v>
      </c>
      <c r="C16" s="7" t="s">
        <v>50</v>
      </c>
      <c r="D16" s="5" t="s">
        <v>51</v>
      </c>
      <c r="E16" s="5" t="s">
        <v>27</v>
      </c>
      <c r="F16" s="5" t="s">
        <v>42</v>
      </c>
      <c r="G16" s="5" t="s">
        <v>52</v>
      </c>
    </row>
    <row r="17" spans="1:7" x14ac:dyDescent="0.3">
      <c r="A17" s="2">
        <v>13</v>
      </c>
      <c r="B17" s="8" t="s">
        <v>39</v>
      </c>
      <c r="C17" s="4" t="s">
        <v>53</v>
      </c>
      <c r="D17" s="2" t="s">
        <v>54</v>
      </c>
      <c r="E17" s="2" t="s">
        <v>37</v>
      </c>
      <c r="F17" s="2" t="s">
        <v>42</v>
      </c>
      <c r="G17" s="2" t="s">
        <v>55</v>
      </c>
    </row>
    <row r="18" spans="1:7" x14ac:dyDescent="0.3">
      <c r="A18" s="5">
        <v>14</v>
      </c>
      <c r="B18" s="9" t="s">
        <v>39</v>
      </c>
      <c r="C18" s="7" t="s">
        <v>56</v>
      </c>
      <c r="D18" s="5" t="s">
        <v>57</v>
      </c>
      <c r="E18" s="5" t="s">
        <v>12</v>
      </c>
      <c r="F18" s="5" t="s">
        <v>42</v>
      </c>
      <c r="G18" s="5" t="s">
        <v>58</v>
      </c>
    </row>
    <row r="19" spans="1:7" x14ac:dyDescent="0.3">
      <c r="A19" s="2">
        <v>15</v>
      </c>
      <c r="B19" s="8" t="s">
        <v>39</v>
      </c>
      <c r="C19" s="4" t="s">
        <v>59</v>
      </c>
      <c r="D19" s="2" t="s">
        <v>60</v>
      </c>
      <c r="E19" s="2" t="s">
        <v>17</v>
      </c>
      <c r="F19" s="2" t="s">
        <v>42</v>
      </c>
      <c r="G19" s="2" t="s">
        <v>61</v>
      </c>
    </row>
    <row r="20" spans="1:7" x14ac:dyDescent="0.3">
      <c r="A20" s="5">
        <v>16</v>
      </c>
      <c r="B20" s="9" t="s">
        <v>39</v>
      </c>
      <c r="C20" s="7" t="s">
        <v>62</v>
      </c>
      <c r="D20" s="5" t="s">
        <v>63</v>
      </c>
      <c r="E20" s="5" t="s">
        <v>17</v>
      </c>
      <c r="F20" s="5" t="s">
        <v>42</v>
      </c>
      <c r="G20" s="5" t="s">
        <v>64</v>
      </c>
    </row>
    <row r="21" spans="1:7" x14ac:dyDescent="0.3">
      <c r="A21" s="2">
        <v>17</v>
      </c>
      <c r="B21" s="8" t="s">
        <v>39</v>
      </c>
      <c r="C21" s="4" t="s">
        <v>65</v>
      </c>
      <c r="D21" s="2" t="s">
        <v>66</v>
      </c>
      <c r="E21" s="2" t="s">
        <v>17</v>
      </c>
      <c r="F21" s="2" t="s">
        <v>42</v>
      </c>
      <c r="G21" s="2" t="s">
        <v>67</v>
      </c>
    </row>
    <row r="22" spans="1:7" x14ac:dyDescent="0.3">
      <c r="A22" s="5">
        <v>18</v>
      </c>
      <c r="B22" s="9" t="s">
        <v>39</v>
      </c>
      <c r="C22" s="7" t="s">
        <v>68</v>
      </c>
      <c r="D22" s="5" t="s">
        <v>69</v>
      </c>
      <c r="E22" s="5" t="s">
        <v>17</v>
      </c>
      <c r="F22" s="5" t="s">
        <v>42</v>
      </c>
      <c r="G22" s="5" t="s">
        <v>70</v>
      </c>
    </row>
    <row r="23" spans="1:7" x14ac:dyDescent="0.3">
      <c r="A23" s="2">
        <v>19</v>
      </c>
      <c r="B23" s="10" t="s">
        <v>71</v>
      </c>
      <c r="C23" s="4" t="s">
        <v>72</v>
      </c>
      <c r="D23" s="2" t="s">
        <v>73</v>
      </c>
      <c r="E23" s="2" t="s">
        <v>12</v>
      </c>
      <c r="F23" s="2" t="s">
        <v>74</v>
      </c>
      <c r="G23" s="2" t="s">
        <v>75</v>
      </c>
    </row>
    <row r="24" spans="1:7" x14ac:dyDescent="0.3">
      <c r="A24" s="5">
        <v>20</v>
      </c>
      <c r="B24" s="11" t="s">
        <v>71</v>
      </c>
      <c r="C24" s="7" t="s">
        <v>76</v>
      </c>
      <c r="D24" s="5" t="s">
        <v>77</v>
      </c>
      <c r="E24" s="5" t="s">
        <v>37</v>
      </c>
      <c r="F24" s="5" t="s">
        <v>74</v>
      </c>
      <c r="G24" s="5" t="s">
        <v>78</v>
      </c>
    </row>
    <row r="25" spans="1:7" x14ac:dyDescent="0.3">
      <c r="A25" s="2">
        <v>21</v>
      </c>
      <c r="B25" s="10" t="s">
        <v>71</v>
      </c>
      <c r="C25" s="4" t="s">
        <v>79</v>
      </c>
      <c r="D25" s="2" t="s">
        <v>80</v>
      </c>
      <c r="E25" s="2" t="s">
        <v>27</v>
      </c>
      <c r="F25" s="2" t="s">
        <v>74</v>
      </c>
      <c r="G25" s="2" t="s">
        <v>81</v>
      </c>
    </row>
    <row r="26" spans="1:7" x14ac:dyDescent="0.3">
      <c r="A26" s="5">
        <v>22</v>
      </c>
      <c r="B26" s="11" t="s">
        <v>71</v>
      </c>
      <c r="C26" s="7" t="s">
        <v>82</v>
      </c>
      <c r="D26" s="5" t="s">
        <v>83</v>
      </c>
      <c r="E26" s="5" t="s">
        <v>37</v>
      </c>
      <c r="F26" s="5" t="s">
        <v>74</v>
      </c>
      <c r="G26" s="5" t="s">
        <v>84</v>
      </c>
    </row>
    <row r="27" spans="1:7" x14ac:dyDescent="0.3">
      <c r="A27" s="2">
        <v>23</v>
      </c>
      <c r="B27" s="10" t="s">
        <v>71</v>
      </c>
      <c r="C27" s="4" t="s">
        <v>85</v>
      </c>
      <c r="D27" s="2" t="s">
        <v>86</v>
      </c>
      <c r="E27" s="2" t="s">
        <v>12</v>
      </c>
      <c r="F27" s="2" t="s">
        <v>74</v>
      </c>
      <c r="G27" s="2" t="s">
        <v>87</v>
      </c>
    </row>
    <row r="28" spans="1:7" x14ac:dyDescent="0.3">
      <c r="A28" s="5">
        <v>24</v>
      </c>
      <c r="B28" s="11" t="s">
        <v>71</v>
      </c>
      <c r="C28" s="7" t="s">
        <v>88</v>
      </c>
      <c r="D28" s="5" t="s">
        <v>89</v>
      </c>
      <c r="E28" s="5" t="s">
        <v>90</v>
      </c>
      <c r="F28" s="5" t="s">
        <v>74</v>
      </c>
      <c r="G28" s="5" t="s">
        <v>91</v>
      </c>
    </row>
    <row r="29" spans="1:7" x14ac:dyDescent="0.3">
      <c r="A29" s="2">
        <v>25</v>
      </c>
      <c r="B29" s="10" t="s">
        <v>71</v>
      </c>
      <c r="C29" s="4" t="s">
        <v>92</v>
      </c>
      <c r="D29" s="2" t="s">
        <v>93</v>
      </c>
      <c r="E29" s="2" t="s">
        <v>17</v>
      </c>
      <c r="F29" s="2" t="s">
        <v>74</v>
      </c>
      <c r="G29" s="2" t="s">
        <v>94</v>
      </c>
    </row>
    <row r="30" spans="1:7" x14ac:dyDescent="0.3">
      <c r="A30" s="5">
        <v>26</v>
      </c>
      <c r="B30" s="11" t="s">
        <v>71</v>
      </c>
      <c r="C30" s="7" t="s">
        <v>19</v>
      </c>
      <c r="D30" s="5" t="s">
        <v>95</v>
      </c>
      <c r="E30" s="5" t="s">
        <v>17</v>
      </c>
      <c r="F30" s="5" t="s">
        <v>74</v>
      </c>
      <c r="G30" s="5" t="s">
        <v>21</v>
      </c>
    </row>
    <row r="31" spans="1:7" x14ac:dyDescent="0.3">
      <c r="A31" s="2">
        <v>27</v>
      </c>
      <c r="B31" s="12" t="s">
        <v>96</v>
      </c>
      <c r="C31" s="4" t="s">
        <v>97</v>
      </c>
      <c r="D31" s="2" t="s">
        <v>98</v>
      </c>
      <c r="E31" s="2" t="s">
        <v>17</v>
      </c>
      <c r="F31" s="2" t="s">
        <v>99</v>
      </c>
      <c r="G31" s="2" t="s">
        <v>100</v>
      </c>
    </row>
    <row r="32" spans="1:7" x14ac:dyDescent="0.3">
      <c r="A32" s="5">
        <v>28</v>
      </c>
      <c r="B32" s="13" t="s">
        <v>96</v>
      </c>
      <c r="C32" s="7" t="s">
        <v>101</v>
      </c>
      <c r="D32" s="5" t="s">
        <v>102</v>
      </c>
      <c r="E32" s="5" t="s">
        <v>37</v>
      </c>
      <c r="F32" s="5" t="s">
        <v>99</v>
      </c>
      <c r="G32" s="5" t="s">
        <v>103</v>
      </c>
    </row>
    <row r="33" spans="1:7" x14ac:dyDescent="0.3">
      <c r="A33" s="2">
        <v>29</v>
      </c>
      <c r="B33" s="12" t="s">
        <v>96</v>
      </c>
      <c r="C33" s="4" t="s">
        <v>104</v>
      </c>
      <c r="D33" s="2" t="s">
        <v>105</v>
      </c>
      <c r="E33" s="2" t="s">
        <v>27</v>
      </c>
      <c r="F33" s="2" t="s">
        <v>99</v>
      </c>
      <c r="G33" s="2" t="s">
        <v>106</v>
      </c>
    </row>
    <row r="34" spans="1:7" x14ac:dyDescent="0.3">
      <c r="A34" s="5">
        <v>30</v>
      </c>
      <c r="B34" s="13" t="s">
        <v>96</v>
      </c>
      <c r="C34" s="7" t="s">
        <v>107</v>
      </c>
      <c r="D34" s="5" t="s">
        <v>108</v>
      </c>
      <c r="E34" s="5" t="s">
        <v>27</v>
      </c>
      <c r="F34" s="5" t="s">
        <v>99</v>
      </c>
      <c r="G34" s="5" t="s">
        <v>109</v>
      </c>
    </row>
    <row r="35" spans="1:7" x14ac:dyDescent="0.3">
      <c r="A35" s="2">
        <v>31</v>
      </c>
      <c r="B35" s="12" t="s">
        <v>96</v>
      </c>
      <c r="C35" s="4" t="s">
        <v>110</v>
      </c>
      <c r="D35" s="2" t="s">
        <v>111</v>
      </c>
      <c r="E35" s="2" t="s">
        <v>17</v>
      </c>
      <c r="F35" s="2" t="s">
        <v>99</v>
      </c>
      <c r="G35" s="2" t="s">
        <v>112</v>
      </c>
    </row>
    <row r="36" spans="1:7" x14ac:dyDescent="0.3">
      <c r="A36" s="5">
        <v>32</v>
      </c>
      <c r="B36" s="13" t="s">
        <v>96</v>
      </c>
      <c r="C36" s="7" t="s">
        <v>113</v>
      </c>
      <c r="D36" s="5" t="s">
        <v>114</v>
      </c>
      <c r="E36" s="5" t="s">
        <v>17</v>
      </c>
      <c r="F36" s="5" t="s">
        <v>99</v>
      </c>
      <c r="G36" s="5" t="s">
        <v>115</v>
      </c>
    </row>
    <row r="37" spans="1:7" x14ac:dyDescent="0.3">
      <c r="A37" s="2">
        <v>33</v>
      </c>
      <c r="B37" s="14" t="s">
        <v>116</v>
      </c>
      <c r="C37" s="4" t="s">
        <v>117</v>
      </c>
      <c r="D37" s="2" t="s">
        <v>118</v>
      </c>
      <c r="E37" s="2" t="s">
        <v>12</v>
      </c>
      <c r="F37" s="2" t="s">
        <v>119</v>
      </c>
      <c r="G37" s="2" t="s">
        <v>120</v>
      </c>
    </row>
    <row r="38" spans="1:7" x14ac:dyDescent="0.3">
      <c r="A38" s="5">
        <v>34</v>
      </c>
      <c r="B38" s="15" t="s">
        <v>116</v>
      </c>
      <c r="C38" s="7" t="s">
        <v>121</v>
      </c>
      <c r="D38" s="5" t="s">
        <v>122</v>
      </c>
      <c r="E38" s="5" t="s">
        <v>12</v>
      </c>
      <c r="F38" s="5" t="s">
        <v>119</v>
      </c>
      <c r="G38" s="5" t="s">
        <v>123</v>
      </c>
    </row>
    <row r="39" spans="1:7" x14ac:dyDescent="0.3">
      <c r="A39" s="2">
        <v>35</v>
      </c>
      <c r="B39" s="14" t="s">
        <v>116</v>
      </c>
      <c r="C39" s="4" t="s">
        <v>124</v>
      </c>
      <c r="D39" s="2" t="s">
        <v>125</v>
      </c>
      <c r="E39" s="2" t="s">
        <v>37</v>
      </c>
      <c r="F39" s="2" t="s">
        <v>119</v>
      </c>
      <c r="G39" s="2" t="s">
        <v>126</v>
      </c>
    </row>
    <row r="40" spans="1:7" x14ac:dyDescent="0.3">
      <c r="A40" s="5">
        <v>36</v>
      </c>
      <c r="B40" s="15" t="s">
        <v>116</v>
      </c>
      <c r="C40" s="7" t="s">
        <v>127</v>
      </c>
      <c r="D40" s="5" t="s">
        <v>128</v>
      </c>
      <c r="E40" s="5" t="s">
        <v>37</v>
      </c>
      <c r="F40" s="5" t="s">
        <v>119</v>
      </c>
      <c r="G40" s="5" t="s">
        <v>129</v>
      </c>
    </row>
    <row r="41" spans="1:7" x14ac:dyDescent="0.3">
      <c r="A41" s="2">
        <v>37</v>
      </c>
      <c r="B41" s="14" t="s">
        <v>116</v>
      </c>
      <c r="C41" s="4" t="s">
        <v>130</v>
      </c>
      <c r="D41" s="2" t="s">
        <v>131</v>
      </c>
      <c r="E41" s="2" t="s">
        <v>17</v>
      </c>
      <c r="F41" s="2" t="s">
        <v>119</v>
      </c>
      <c r="G41" s="2" t="s">
        <v>132</v>
      </c>
    </row>
    <row r="42" spans="1:7" x14ac:dyDescent="0.3">
      <c r="A42" s="5">
        <v>38</v>
      </c>
      <c r="B42" s="15" t="s">
        <v>116</v>
      </c>
      <c r="C42" s="7" t="s">
        <v>133</v>
      </c>
      <c r="D42" s="5" t="s">
        <v>134</v>
      </c>
      <c r="E42" s="5" t="s">
        <v>17</v>
      </c>
      <c r="F42" s="5" t="s">
        <v>119</v>
      </c>
      <c r="G42" s="5" t="s">
        <v>135</v>
      </c>
    </row>
    <row r="43" spans="1:7" x14ac:dyDescent="0.3">
      <c r="A43" s="2">
        <v>39</v>
      </c>
      <c r="B43" s="14" t="s">
        <v>116</v>
      </c>
      <c r="C43" s="4" t="s">
        <v>136</v>
      </c>
      <c r="D43" s="2" t="s">
        <v>137</v>
      </c>
      <c r="E43" s="2" t="s">
        <v>12</v>
      </c>
      <c r="F43" s="2" t="s">
        <v>119</v>
      </c>
      <c r="G43" s="2" t="s">
        <v>138</v>
      </c>
    </row>
    <row r="44" spans="1:7" x14ac:dyDescent="0.3">
      <c r="A44" s="5">
        <v>40</v>
      </c>
      <c r="B44" s="15" t="s">
        <v>116</v>
      </c>
      <c r="C44" s="7" t="s">
        <v>139</v>
      </c>
      <c r="D44" s="5" t="s">
        <v>140</v>
      </c>
      <c r="E44" s="5" t="s">
        <v>12</v>
      </c>
      <c r="F44" s="5" t="s">
        <v>119</v>
      </c>
      <c r="G44" s="5" t="s">
        <v>141</v>
      </c>
    </row>
    <row r="45" spans="1:7" x14ac:dyDescent="0.3">
      <c r="A45" s="2">
        <v>41</v>
      </c>
      <c r="B45" s="14" t="s">
        <v>116</v>
      </c>
      <c r="C45" s="4" t="s">
        <v>142</v>
      </c>
      <c r="D45" s="2" t="s">
        <v>143</v>
      </c>
      <c r="E45" s="2" t="s">
        <v>12</v>
      </c>
      <c r="F45" s="2" t="s">
        <v>119</v>
      </c>
      <c r="G45" s="2" t="s">
        <v>144</v>
      </c>
    </row>
    <row r="46" spans="1:7" x14ac:dyDescent="0.3">
      <c r="A46" s="5">
        <v>42</v>
      </c>
      <c r="B46" s="15" t="s">
        <v>116</v>
      </c>
      <c r="C46" s="7" t="s">
        <v>145</v>
      </c>
      <c r="D46" s="5" t="s">
        <v>146</v>
      </c>
      <c r="E46" s="5" t="s">
        <v>12</v>
      </c>
      <c r="F46" s="5" t="s">
        <v>119</v>
      </c>
      <c r="G46" s="5" t="s">
        <v>147</v>
      </c>
    </row>
    <row r="47" spans="1:7" x14ac:dyDescent="0.3">
      <c r="A47" s="2">
        <v>43</v>
      </c>
      <c r="B47" s="10" t="s">
        <v>71</v>
      </c>
      <c r="C47" s="4" t="s">
        <v>148</v>
      </c>
      <c r="D47" s="2" t="s">
        <v>149</v>
      </c>
      <c r="E47" s="2" t="s">
        <v>150</v>
      </c>
      <c r="F47" s="2" t="s">
        <v>74</v>
      </c>
      <c r="G47" s="2" t="s">
        <v>151</v>
      </c>
    </row>
    <row r="48" spans="1:7" x14ac:dyDescent="0.3">
      <c r="A48" s="5">
        <v>44</v>
      </c>
      <c r="B48" s="13" t="s">
        <v>96</v>
      </c>
      <c r="C48" s="7" t="s">
        <v>152</v>
      </c>
      <c r="D48" s="5" t="s">
        <v>153</v>
      </c>
      <c r="E48" s="5" t="s">
        <v>150</v>
      </c>
      <c r="F48" s="5" t="s">
        <v>99</v>
      </c>
      <c r="G48" s="5" t="s">
        <v>154</v>
      </c>
    </row>
    <row r="49" spans="1:7" x14ac:dyDescent="0.3">
      <c r="A49" s="2">
        <v>45</v>
      </c>
      <c r="B49" s="12" t="s">
        <v>96</v>
      </c>
      <c r="C49" s="4" t="s">
        <v>155</v>
      </c>
      <c r="D49" s="2" t="s">
        <v>156</v>
      </c>
      <c r="E49" s="2" t="s">
        <v>150</v>
      </c>
      <c r="F49" s="2" t="s">
        <v>99</v>
      </c>
      <c r="G49" s="2" t="s">
        <v>157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workbookViewId="0">
      <pane ySplit="3" topLeftCell="A9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14" customWidth="1"/>
    <col min="5" max="5" width="52" customWidth="1"/>
    <col min="6" max="6" width="48" customWidth="1"/>
    <col min="7" max="7" width="88" customWidth="1"/>
  </cols>
  <sheetData>
    <row r="1" spans="1:7" ht="25.95" customHeight="1" x14ac:dyDescent="0.3">
      <c r="A1" s="64" t="s">
        <v>158</v>
      </c>
      <c r="B1" s="61"/>
      <c r="C1" s="61"/>
      <c r="D1" s="61"/>
      <c r="E1" s="61"/>
      <c r="F1" s="61"/>
      <c r="G1" s="61"/>
    </row>
    <row r="2" spans="1:7" ht="13.95" customHeight="1" x14ac:dyDescent="0.3">
      <c r="A2" s="63" t="s">
        <v>159</v>
      </c>
      <c r="B2" s="61"/>
      <c r="C2" s="61"/>
      <c r="D2" s="61"/>
      <c r="E2" s="61"/>
      <c r="F2" s="61"/>
      <c r="G2" s="61"/>
    </row>
    <row r="3" spans="1:7" ht="16.05" customHeight="1" x14ac:dyDescent="0.3">
      <c r="A3" s="16" t="s">
        <v>2</v>
      </c>
      <c r="B3" s="16" t="s">
        <v>4</v>
      </c>
      <c r="C3" s="16" t="s">
        <v>160</v>
      </c>
      <c r="D3" s="16" t="s">
        <v>6</v>
      </c>
      <c r="E3" s="16" t="s">
        <v>161</v>
      </c>
      <c r="F3" s="16" t="s">
        <v>162</v>
      </c>
      <c r="G3" s="16" t="s">
        <v>163</v>
      </c>
    </row>
    <row r="4" spans="1:7" ht="49.95" customHeight="1" x14ac:dyDescent="0.3">
      <c r="A4" s="2">
        <v>1</v>
      </c>
      <c r="B4" s="17" t="s">
        <v>10</v>
      </c>
      <c r="C4" s="2" t="s">
        <v>11</v>
      </c>
      <c r="D4" s="18" t="s">
        <v>12</v>
      </c>
      <c r="E4" s="19" t="s">
        <v>164</v>
      </c>
      <c r="F4" s="20" t="s">
        <v>165</v>
      </c>
      <c r="G4" s="21" t="s">
        <v>166</v>
      </c>
    </row>
    <row r="5" spans="1:7" ht="49.95" customHeight="1" x14ac:dyDescent="0.3">
      <c r="A5" s="22">
        <v>2</v>
      </c>
      <c r="B5" s="23" t="s">
        <v>15</v>
      </c>
      <c r="C5" s="22" t="s">
        <v>16</v>
      </c>
      <c r="D5" s="24" t="s">
        <v>17</v>
      </c>
      <c r="E5" s="25" t="s">
        <v>167</v>
      </c>
      <c r="F5" s="26" t="s">
        <v>168</v>
      </c>
      <c r="G5" s="27" t="s">
        <v>169</v>
      </c>
    </row>
    <row r="6" spans="1:7" ht="60" customHeight="1" x14ac:dyDescent="0.3">
      <c r="A6" s="2">
        <v>3</v>
      </c>
      <c r="B6" s="17" t="s">
        <v>19</v>
      </c>
      <c r="C6" s="2" t="s">
        <v>20</v>
      </c>
      <c r="D6" s="18" t="s">
        <v>17</v>
      </c>
      <c r="E6" s="19" t="s">
        <v>170</v>
      </c>
      <c r="F6" s="20" t="s">
        <v>171</v>
      </c>
      <c r="G6" s="21" t="s">
        <v>172</v>
      </c>
    </row>
    <row r="7" spans="1:7" ht="132" customHeight="1" x14ac:dyDescent="0.3">
      <c r="A7" s="22">
        <v>4</v>
      </c>
      <c r="B7" s="23" t="s">
        <v>22</v>
      </c>
      <c r="C7" s="22" t="s">
        <v>23</v>
      </c>
      <c r="D7" s="24" t="s">
        <v>17</v>
      </c>
      <c r="E7" s="25" t="s">
        <v>173</v>
      </c>
      <c r="F7" s="26" t="s">
        <v>174</v>
      </c>
      <c r="G7" s="27" t="s">
        <v>175</v>
      </c>
    </row>
    <row r="8" spans="1:7" ht="72" customHeight="1" x14ac:dyDescent="0.3">
      <c r="A8" s="2">
        <v>5</v>
      </c>
      <c r="B8" s="17" t="s">
        <v>25</v>
      </c>
      <c r="C8" s="2" t="s">
        <v>26</v>
      </c>
      <c r="D8" s="18" t="s">
        <v>27</v>
      </c>
      <c r="E8" s="19" t="s">
        <v>176</v>
      </c>
      <c r="F8" s="20" t="s">
        <v>177</v>
      </c>
      <c r="G8" s="21" t="s">
        <v>178</v>
      </c>
    </row>
    <row r="9" spans="1:7" ht="132" customHeight="1" x14ac:dyDescent="0.3">
      <c r="A9" s="22">
        <v>6</v>
      </c>
      <c r="B9" s="23" t="s">
        <v>29</v>
      </c>
      <c r="C9" s="22" t="s">
        <v>30</v>
      </c>
      <c r="D9" s="24" t="s">
        <v>27</v>
      </c>
      <c r="E9" s="25" t="s">
        <v>179</v>
      </c>
      <c r="F9" s="26" t="s">
        <v>180</v>
      </c>
      <c r="G9" s="27" t="s">
        <v>181</v>
      </c>
    </row>
    <row r="10" spans="1:7" ht="49.95" customHeight="1" x14ac:dyDescent="0.3">
      <c r="A10" s="2">
        <v>7</v>
      </c>
      <c r="B10" s="17" t="s">
        <v>32</v>
      </c>
      <c r="C10" s="2" t="s">
        <v>33</v>
      </c>
      <c r="D10" s="18" t="s">
        <v>17</v>
      </c>
      <c r="E10" s="19" t="s">
        <v>182</v>
      </c>
      <c r="F10" s="20" t="s">
        <v>183</v>
      </c>
      <c r="G10" s="21" t="s">
        <v>184</v>
      </c>
    </row>
    <row r="11" spans="1:7" ht="180" customHeight="1" x14ac:dyDescent="0.3">
      <c r="A11" s="22">
        <v>8</v>
      </c>
      <c r="B11" s="23" t="s">
        <v>35</v>
      </c>
      <c r="C11" s="22" t="s">
        <v>36</v>
      </c>
      <c r="D11" s="24" t="s">
        <v>37</v>
      </c>
      <c r="E11" s="25" t="s">
        <v>185</v>
      </c>
      <c r="F11" s="26"/>
      <c r="G11" s="27" t="s">
        <v>186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showGridLines="0" tabSelected="1" workbookViewId="0">
      <pane ySplit="3" topLeftCell="A4" activePane="bottomLeft" state="frozen"/>
      <selection pane="bottomLeft" activeCell="F12" sqref="F12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14" customWidth="1"/>
    <col min="5" max="5" width="52" customWidth="1"/>
    <col min="6" max="6" width="48" customWidth="1"/>
    <col min="7" max="7" width="88" customWidth="1"/>
  </cols>
  <sheetData>
    <row r="1" spans="1:7" ht="25.95" customHeight="1" x14ac:dyDescent="0.3">
      <c r="A1" s="65" t="s">
        <v>187</v>
      </c>
      <c r="B1" s="61"/>
      <c r="C1" s="61"/>
      <c r="D1" s="61"/>
      <c r="E1" s="61"/>
      <c r="F1" s="61"/>
      <c r="G1" s="61"/>
    </row>
    <row r="2" spans="1:7" ht="13.95" customHeight="1" x14ac:dyDescent="0.3">
      <c r="A2" s="63" t="s">
        <v>159</v>
      </c>
      <c r="B2" s="61"/>
      <c r="C2" s="61"/>
      <c r="D2" s="61"/>
      <c r="E2" s="61"/>
      <c r="F2" s="61"/>
      <c r="G2" s="61"/>
    </row>
    <row r="3" spans="1:7" ht="16.05" customHeight="1" x14ac:dyDescent="0.3">
      <c r="A3" s="28" t="s">
        <v>2</v>
      </c>
      <c r="B3" s="28" t="s">
        <v>4</v>
      </c>
      <c r="C3" s="28" t="s">
        <v>160</v>
      </c>
      <c r="D3" s="28" t="s">
        <v>6</v>
      </c>
      <c r="E3" s="28" t="s">
        <v>161</v>
      </c>
      <c r="F3" s="28" t="s">
        <v>162</v>
      </c>
      <c r="G3" s="28" t="s">
        <v>163</v>
      </c>
    </row>
    <row r="4" spans="1:7" ht="49.95" customHeight="1" x14ac:dyDescent="0.3">
      <c r="A4" s="2">
        <v>1</v>
      </c>
      <c r="B4" s="29" t="s">
        <v>40</v>
      </c>
      <c r="C4" s="2" t="s">
        <v>41</v>
      </c>
      <c r="D4" s="18" t="s">
        <v>12</v>
      </c>
      <c r="E4" s="19" t="s">
        <v>188</v>
      </c>
      <c r="F4" s="20" t="s">
        <v>189</v>
      </c>
      <c r="G4" s="21" t="s">
        <v>190</v>
      </c>
    </row>
    <row r="5" spans="1:7" ht="108" customHeight="1" x14ac:dyDescent="0.3">
      <c r="A5" s="30">
        <v>2</v>
      </c>
      <c r="B5" s="31" t="s">
        <v>44</v>
      </c>
      <c r="C5" s="30" t="s">
        <v>45</v>
      </c>
      <c r="D5" s="32" t="s">
        <v>37</v>
      </c>
      <c r="E5" s="33" t="s">
        <v>191</v>
      </c>
      <c r="F5" s="69" t="s">
        <v>287</v>
      </c>
      <c r="G5" s="35" t="s">
        <v>192</v>
      </c>
    </row>
    <row r="6" spans="1:7" ht="240" customHeight="1" x14ac:dyDescent="0.3">
      <c r="A6" s="2">
        <v>3</v>
      </c>
      <c r="B6" s="29" t="s">
        <v>47</v>
      </c>
      <c r="C6" s="2" t="s">
        <v>48</v>
      </c>
      <c r="D6" s="18" t="s">
        <v>37</v>
      </c>
      <c r="E6" s="19" t="s">
        <v>193</v>
      </c>
      <c r="F6" s="20"/>
      <c r="G6" s="21" t="s">
        <v>194</v>
      </c>
    </row>
    <row r="7" spans="1:7" ht="240" customHeight="1" x14ac:dyDescent="0.3">
      <c r="A7" s="30">
        <v>4</v>
      </c>
      <c r="B7" s="31" t="s">
        <v>50</v>
      </c>
      <c r="C7" s="30" t="s">
        <v>51</v>
      </c>
      <c r="D7" s="32" t="s">
        <v>27</v>
      </c>
      <c r="E7" s="33" t="s">
        <v>195</v>
      </c>
      <c r="F7" s="34" t="s">
        <v>196</v>
      </c>
      <c r="G7" s="35" t="s">
        <v>197</v>
      </c>
    </row>
    <row r="8" spans="1:7" ht="84" customHeight="1" x14ac:dyDescent="0.3">
      <c r="A8" s="2">
        <v>5</v>
      </c>
      <c r="B8" s="29" t="s">
        <v>53</v>
      </c>
      <c r="C8" s="2" t="s">
        <v>54</v>
      </c>
      <c r="D8" s="18" t="s">
        <v>37</v>
      </c>
      <c r="E8" s="19" t="s">
        <v>198</v>
      </c>
      <c r="F8" s="70" t="s">
        <v>288</v>
      </c>
      <c r="G8" s="21" t="s">
        <v>199</v>
      </c>
    </row>
    <row r="9" spans="1:7" ht="240" customHeight="1" x14ac:dyDescent="0.3">
      <c r="A9" s="30">
        <v>6</v>
      </c>
      <c r="B9" s="31" t="s">
        <v>56</v>
      </c>
      <c r="C9" s="30" t="s">
        <v>57</v>
      </c>
      <c r="D9" s="32" t="s">
        <v>12</v>
      </c>
      <c r="E9" s="33" t="s">
        <v>200</v>
      </c>
      <c r="F9" s="34" t="s">
        <v>201</v>
      </c>
      <c r="G9" s="35" t="s">
        <v>202</v>
      </c>
    </row>
    <row r="10" spans="1:7" ht="60" customHeight="1" x14ac:dyDescent="0.3">
      <c r="A10" s="2">
        <v>7</v>
      </c>
      <c r="B10" s="29" t="s">
        <v>59</v>
      </c>
      <c r="C10" s="2" t="s">
        <v>60</v>
      </c>
      <c r="D10" s="18" t="s">
        <v>17</v>
      </c>
      <c r="E10" s="19" t="s">
        <v>203</v>
      </c>
      <c r="F10" s="20" t="s">
        <v>204</v>
      </c>
      <c r="G10" s="21" t="s">
        <v>205</v>
      </c>
    </row>
    <row r="11" spans="1:7" ht="96" customHeight="1" x14ac:dyDescent="0.3">
      <c r="A11" s="30">
        <v>8</v>
      </c>
      <c r="B11" s="31" t="s">
        <v>62</v>
      </c>
      <c r="C11" s="30" t="s">
        <v>63</v>
      </c>
      <c r="D11" s="32" t="s">
        <v>17</v>
      </c>
      <c r="E11" s="33" t="s">
        <v>206</v>
      </c>
      <c r="F11" s="34" t="s">
        <v>207</v>
      </c>
      <c r="G11" s="35" t="s">
        <v>208</v>
      </c>
    </row>
    <row r="12" spans="1:7" ht="96" customHeight="1" x14ac:dyDescent="0.3">
      <c r="A12" s="2">
        <v>9</v>
      </c>
      <c r="B12" s="29" t="s">
        <v>65</v>
      </c>
      <c r="C12" s="2" t="s">
        <v>66</v>
      </c>
      <c r="D12" s="18" t="s">
        <v>17</v>
      </c>
      <c r="E12" s="19" t="s">
        <v>209</v>
      </c>
      <c r="F12" s="20" t="s">
        <v>210</v>
      </c>
      <c r="G12" s="21" t="s">
        <v>211</v>
      </c>
    </row>
    <row r="13" spans="1:7" ht="120" customHeight="1" x14ac:dyDescent="0.3">
      <c r="A13" s="30">
        <v>10</v>
      </c>
      <c r="B13" s="31" t="s">
        <v>68</v>
      </c>
      <c r="C13" s="30" t="s">
        <v>69</v>
      </c>
      <c r="D13" s="32" t="s">
        <v>17</v>
      </c>
      <c r="E13" s="33" t="s">
        <v>212</v>
      </c>
      <c r="F13" s="34" t="s">
        <v>213</v>
      </c>
      <c r="G13" s="35" t="s">
        <v>214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14" customWidth="1"/>
    <col min="5" max="5" width="52" customWidth="1"/>
    <col min="6" max="6" width="48" customWidth="1"/>
    <col min="7" max="7" width="88" customWidth="1"/>
  </cols>
  <sheetData>
    <row r="1" spans="1:7" ht="25.95" customHeight="1" x14ac:dyDescent="0.3">
      <c r="A1" s="66" t="s">
        <v>215</v>
      </c>
      <c r="B1" s="61"/>
      <c r="C1" s="61"/>
      <c r="D1" s="61"/>
      <c r="E1" s="61"/>
      <c r="F1" s="61"/>
      <c r="G1" s="61"/>
    </row>
    <row r="2" spans="1:7" ht="13.95" customHeight="1" x14ac:dyDescent="0.3">
      <c r="A2" s="63" t="s">
        <v>159</v>
      </c>
      <c r="B2" s="61"/>
      <c r="C2" s="61"/>
      <c r="D2" s="61"/>
      <c r="E2" s="61"/>
      <c r="F2" s="61"/>
      <c r="G2" s="61"/>
    </row>
    <row r="3" spans="1:7" ht="16.05" customHeight="1" x14ac:dyDescent="0.3">
      <c r="A3" s="36" t="s">
        <v>2</v>
      </c>
      <c r="B3" s="36" t="s">
        <v>4</v>
      </c>
      <c r="C3" s="36" t="s">
        <v>160</v>
      </c>
      <c r="D3" s="36" t="s">
        <v>6</v>
      </c>
      <c r="E3" s="36" t="s">
        <v>161</v>
      </c>
      <c r="F3" s="36" t="s">
        <v>162</v>
      </c>
      <c r="G3" s="36" t="s">
        <v>163</v>
      </c>
    </row>
    <row r="4" spans="1:7" ht="120" customHeight="1" x14ac:dyDescent="0.3">
      <c r="A4" s="2">
        <v>1</v>
      </c>
      <c r="B4" s="37" t="s">
        <v>72</v>
      </c>
      <c r="C4" s="2" t="s">
        <v>73</v>
      </c>
      <c r="D4" s="18" t="s">
        <v>12</v>
      </c>
      <c r="E4" s="19" t="s">
        <v>216</v>
      </c>
      <c r="F4" s="20" t="s">
        <v>217</v>
      </c>
      <c r="G4" s="21" t="s">
        <v>218</v>
      </c>
    </row>
    <row r="5" spans="1:7" ht="49.95" customHeight="1" x14ac:dyDescent="0.3">
      <c r="A5" s="38">
        <v>2</v>
      </c>
      <c r="B5" s="39" t="s">
        <v>76</v>
      </c>
      <c r="C5" s="38" t="s">
        <v>77</v>
      </c>
      <c r="D5" s="40" t="s">
        <v>37</v>
      </c>
      <c r="E5" s="41" t="s">
        <v>219</v>
      </c>
      <c r="F5" s="42" t="e">
        <f>COUNT(is_maverick=1) / COUNT(all PO lines with purchasing_document) * 100</f>
        <v>#DIV/0!</v>
      </c>
      <c r="G5" s="43" t="s">
        <v>220</v>
      </c>
    </row>
    <row r="6" spans="1:7" ht="49.95" customHeight="1" x14ac:dyDescent="0.3">
      <c r="A6" s="2">
        <v>3</v>
      </c>
      <c r="B6" s="37" t="s">
        <v>79</v>
      </c>
      <c r="C6" s="2" t="s">
        <v>80</v>
      </c>
      <c r="D6" s="18" t="s">
        <v>27</v>
      </c>
      <c r="E6" s="19" t="s">
        <v>221</v>
      </c>
      <c r="F6" s="20" t="s">
        <v>222</v>
      </c>
      <c r="G6" s="21" t="s">
        <v>223</v>
      </c>
    </row>
    <row r="7" spans="1:7" ht="168" customHeight="1" x14ac:dyDescent="0.3">
      <c r="A7" s="38">
        <v>4</v>
      </c>
      <c r="B7" s="39" t="s">
        <v>82</v>
      </c>
      <c r="C7" s="38" t="s">
        <v>83</v>
      </c>
      <c r="D7" s="40" t="s">
        <v>37</v>
      </c>
      <c r="E7" s="41" t="s">
        <v>224</v>
      </c>
      <c r="F7" s="42" t="e">
        <f>SUM(#REF!) / SUM(all vendor spend) * 100</f>
        <v>#REF!</v>
      </c>
      <c r="G7" s="43" t="s">
        <v>225</v>
      </c>
    </row>
    <row r="8" spans="1:7" ht="96" customHeight="1" x14ac:dyDescent="0.3">
      <c r="A8" s="2">
        <v>5</v>
      </c>
      <c r="B8" s="37" t="s">
        <v>85</v>
      </c>
      <c r="C8" s="2" t="s">
        <v>86</v>
      </c>
      <c r="D8" s="18" t="s">
        <v>12</v>
      </c>
      <c r="E8" s="19" t="s">
        <v>226</v>
      </c>
      <c r="F8" s="20"/>
      <c r="G8" s="21" t="s">
        <v>227</v>
      </c>
    </row>
    <row r="9" spans="1:7" ht="108" customHeight="1" x14ac:dyDescent="0.3">
      <c r="A9" s="38">
        <v>6</v>
      </c>
      <c r="B9" s="39" t="s">
        <v>88</v>
      </c>
      <c r="C9" s="38" t="s">
        <v>89</v>
      </c>
      <c r="D9" s="40" t="s">
        <v>90</v>
      </c>
      <c r="E9" s="41" t="s">
        <v>228</v>
      </c>
      <c r="F9" s="42" t="e">
        <f>0.4 * VENDOR_CONCENTRATION + 0.3 * MAVERICK_BUY_RATE + 0.3 * (anomaly_events/total_events×100)</f>
        <v>#NAME?</v>
      </c>
      <c r="G9" s="43" t="s">
        <v>229</v>
      </c>
    </row>
    <row r="10" spans="1:7" ht="240" customHeight="1" x14ac:dyDescent="0.3">
      <c r="A10" s="2">
        <v>7</v>
      </c>
      <c r="B10" s="37" t="s">
        <v>92</v>
      </c>
      <c r="C10" s="2" t="s">
        <v>93</v>
      </c>
      <c r="D10" s="18" t="s">
        <v>17</v>
      </c>
      <c r="E10" s="19" t="s">
        <v>230</v>
      </c>
      <c r="F10" s="20" t="e">
        <f>SOD_PO_CREATE_RELEASE + SOD_PO_GRN + SOD_GRN_INVOICE + SOD_INVOICE_PAYMENT</f>
        <v>#NAME?</v>
      </c>
      <c r="G10" s="21" t="s">
        <v>231</v>
      </c>
    </row>
    <row r="11" spans="1:7" ht="60" customHeight="1" x14ac:dyDescent="0.3">
      <c r="A11" s="38">
        <v>8</v>
      </c>
      <c r="B11" s="39" t="s">
        <v>19</v>
      </c>
      <c r="C11" s="38" t="s">
        <v>95</v>
      </c>
      <c r="D11" s="40" t="s">
        <v>17</v>
      </c>
      <c r="E11" s="41" t="s">
        <v>232</v>
      </c>
      <c r="F11" s="42" t="s">
        <v>171</v>
      </c>
      <c r="G11" s="43" t="s">
        <v>233</v>
      </c>
    </row>
    <row r="12" spans="1:7" ht="300" customHeight="1" x14ac:dyDescent="0.3">
      <c r="A12" s="2">
        <v>9</v>
      </c>
      <c r="B12" s="37" t="s">
        <v>148</v>
      </c>
      <c r="C12" s="2" t="s">
        <v>149</v>
      </c>
      <c r="D12" s="18" t="s">
        <v>150</v>
      </c>
      <c r="E12" s="19" t="s">
        <v>234</v>
      </c>
      <c r="F12" s="20"/>
      <c r="G12" s="21" t="s">
        <v>235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14" customWidth="1"/>
    <col min="5" max="5" width="52" customWidth="1"/>
    <col min="6" max="6" width="48" customWidth="1"/>
    <col min="7" max="7" width="88" customWidth="1"/>
  </cols>
  <sheetData>
    <row r="1" spans="1:7" ht="25.95" customHeight="1" x14ac:dyDescent="0.3">
      <c r="A1" s="67" t="s">
        <v>236</v>
      </c>
      <c r="B1" s="61"/>
      <c r="C1" s="61"/>
      <c r="D1" s="61"/>
      <c r="E1" s="61"/>
      <c r="F1" s="61"/>
      <c r="G1" s="61"/>
    </row>
    <row r="2" spans="1:7" ht="13.95" customHeight="1" x14ac:dyDescent="0.3">
      <c r="A2" s="63" t="s">
        <v>159</v>
      </c>
      <c r="B2" s="61"/>
      <c r="C2" s="61"/>
      <c r="D2" s="61"/>
      <c r="E2" s="61"/>
      <c r="F2" s="61"/>
      <c r="G2" s="61"/>
    </row>
    <row r="3" spans="1:7" ht="16.05" customHeight="1" x14ac:dyDescent="0.3">
      <c r="A3" s="44" t="s">
        <v>2</v>
      </c>
      <c r="B3" s="44" t="s">
        <v>4</v>
      </c>
      <c r="C3" s="44" t="s">
        <v>160</v>
      </c>
      <c r="D3" s="44" t="s">
        <v>6</v>
      </c>
      <c r="E3" s="44" t="s">
        <v>161</v>
      </c>
      <c r="F3" s="44" t="s">
        <v>162</v>
      </c>
      <c r="G3" s="44" t="s">
        <v>163</v>
      </c>
    </row>
    <row r="4" spans="1:7" ht="96" customHeight="1" x14ac:dyDescent="0.3">
      <c r="A4" s="2">
        <v>1</v>
      </c>
      <c r="B4" s="45" t="s">
        <v>97</v>
      </c>
      <c r="C4" s="2" t="s">
        <v>98</v>
      </c>
      <c r="D4" s="18" t="s">
        <v>17</v>
      </c>
      <c r="E4" s="19" t="s">
        <v>237</v>
      </c>
      <c r="F4" s="20" t="s">
        <v>238</v>
      </c>
      <c r="G4" s="21" t="s">
        <v>239</v>
      </c>
    </row>
    <row r="5" spans="1:7" ht="144" customHeight="1" x14ac:dyDescent="0.3">
      <c r="A5" s="46">
        <v>2</v>
      </c>
      <c r="B5" s="47" t="s">
        <v>101</v>
      </c>
      <c r="C5" s="46" t="s">
        <v>102</v>
      </c>
      <c r="D5" s="48" t="s">
        <v>37</v>
      </c>
      <c r="E5" s="49" t="s">
        <v>240</v>
      </c>
      <c r="F5" s="50"/>
      <c r="G5" s="51" t="s">
        <v>241</v>
      </c>
    </row>
    <row r="6" spans="1:7" ht="204" customHeight="1" x14ac:dyDescent="0.3">
      <c r="A6" s="2">
        <v>3</v>
      </c>
      <c r="B6" s="45" t="s">
        <v>104</v>
      </c>
      <c r="C6" s="2" t="s">
        <v>105</v>
      </c>
      <c r="D6" s="18" t="s">
        <v>27</v>
      </c>
      <c r="E6" s="19" t="s">
        <v>242</v>
      </c>
      <c r="F6" s="20" t="s">
        <v>243</v>
      </c>
      <c r="G6" s="21" t="s">
        <v>244</v>
      </c>
    </row>
    <row r="7" spans="1:7" ht="84" customHeight="1" x14ac:dyDescent="0.3">
      <c r="A7" s="46">
        <v>4</v>
      </c>
      <c r="B7" s="47" t="s">
        <v>107</v>
      </c>
      <c r="C7" s="46" t="s">
        <v>108</v>
      </c>
      <c r="D7" s="48" t="s">
        <v>27</v>
      </c>
      <c r="E7" s="49" t="s">
        <v>245</v>
      </c>
      <c r="F7" s="50" t="s">
        <v>246</v>
      </c>
      <c r="G7" s="51" t="s">
        <v>247</v>
      </c>
    </row>
    <row r="8" spans="1:7" ht="60" customHeight="1" x14ac:dyDescent="0.3">
      <c r="A8" s="2">
        <v>5</v>
      </c>
      <c r="B8" s="45" t="s">
        <v>110</v>
      </c>
      <c r="C8" s="2" t="s">
        <v>111</v>
      </c>
      <c r="D8" s="18" t="s">
        <v>17</v>
      </c>
      <c r="E8" s="19" t="s">
        <v>248</v>
      </c>
      <c r="F8" s="20" t="s">
        <v>249</v>
      </c>
      <c r="G8" s="21" t="s">
        <v>250</v>
      </c>
    </row>
    <row r="9" spans="1:7" ht="60" customHeight="1" x14ac:dyDescent="0.3">
      <c r="A9" s="46">
        <v>6</v>
      </c>
      <c r="B9" s="47" t="s">
        <v>113</v>
      </c>
      <c r="C9" s="46" t="s">
        <v>114</v>
      </c>
      <c r="D9" s="48" t="s">
        <v>17</v>
      </c>
      <c r="E9" s="49" t="s">
        <v>251</v>
      </c>
      <c r="F9" s="50" t="s">
        <v>252</v>
      </c>
      <c r="G9" s="51" t="s">
        <v>253</v>
      </c>
    </row>
    <row r="10" spans="1:7" ht="228" customHeight="1" x14ac:dyDescent="0.3">
      <c r="A10" s="2">
        <v>7</v>
      </c>
      <c r="B10" s="45" t="s">
        <v>152</v>
      </c>
      <c r="C10" s="2" t="s">
        <v>153</v>
      </c>
      <c r="D10" s="18" t="s">
        <v>150</v>
      </c>
      <c r="E10" s="19" t="s">
        <v>254</v>
      </c>
      <c r="F10" s="20"/>
      <c r="G10" s="21" t="s">
        <v>255</v>
      </c>
    </row>
    <row r="11" spans="1:7" ht="204" customHeight="1" x14ac:dyDescent="0.3">
      <c r="A11" s="46">
        <v>8</v>
      </c>
      <c r="B11" s="47" t="s">
        <v>155</v>
      </c>
      <c r="C11" s="46" t="s">
        <v>156</v>
      </c>
      <c r="D11" s="48" t="s">
        <v>150</v>
      </c>
      <c r="E11" s="49" t="s">
        <v>256</v>
      </c>
      <c r="F11" s="50"/>
      <c r="G11" s="51" t="s">
        <v>257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14" customWidth="1"/>
    <col min="5" max="5" width="52" customWidth="1"/>
    <col min="6" max="6" width="48" customWidth="1"/>
    <col min="7" max="7" width="88" customWidth="1"/>
  </cols>
  <sheetData>
    <row r="1" spans="1:7" ht="25.95" customHeight="1" x14ac:dyDescent="0.3">
      <c r="A1" s="68" t="s">
        <v>258</v>
      </c>
      <c r="B1" s="61"/>
      <c r="C1" s="61"/>
      <c r="D1" s="61"/>
      <c r="E1" s="61"/>
      <c r="F1" s="61"/>
      <c r="G1" s="61"/>
    </row>
    <row r="2" spans="1:7" ht="13.95" customHeight="1" x14ac:dyDescent="0.3">
      <c r="A2" s="63" t="s">
        <v>159</v>
      </c>
      <c r="B2" s="61"/>
      <c r="C2" s="61"/>
      <c r="D2" s="61"/>
      <c r="E2" s="61"/>
      <c r="F2" s="61"/>
      <c r="G2" s="61"/>
    </row>
    <row r="3" spans="1:7" ht="16.05" customHeight="1" x14ac:dyDescent="0.3">
      <c r="A3" s="52" t="s">
        <v>2</v>
      </c>
      <c r="B3" s="52" t="s">
        <v>4</v>
      </c>
      <c r="C3" s="52" t="s">
        <v>160</v>
      </c>
      <c r="D3" s="52" t="s">
        <v>6</v>
      </c>
      <c r="E3" s="52" t="s">
        <v>161</v>
      </c>
      <c r="F3" s="52" t="s">
        <v>162</v>
      </c>
      <c r="G3" s="52" t="s">
        <v>163</v>
      </c>
    </row>
    <row r="4" spans="1:7" ht="49.95" customHeight="1" x14ac:dyDescent="0.3">
      <c r="A4" s="2">
        <v>1</v>
      </c>
      <c r="B4" s="53" t="s">
        <v>117</v>
      </c>
      <c r="C4" s="2" t="s">
        <v>118</v>
      </c>
      <c r="D4" s="18" t="s">
        <v>12</v>
      </c>
      <c r="E4" s="19" t="s">
        <v>259</v>
      </c>
      <c r="F4" s="20" t="s">
        <v>260</v>
      </c>
      <c r="G4" s="21" t="s">
        <v>261</v>
      </c>
    </row>
    <row r="5" spans="1:7" ht="49.95" customHeight="1" x14ac:dyDescent="0.3">
      <c r="A5" s="54">
        <v>2</v>
      </c>
      <c r="B5" s="55" t="s">
        <v>121</v>
      </c>
      <c r="C5" s="54" t="s">
        <v>122</v>
      </c>
      <c r="D5" s="56" t="s">
        <v>12</v>
      </c>
      <c r="E5" s="57" t="s">
        <v>262</v>
      </c>
      <c r="F5" s="58" t="s">
        <v>263</v>
      </c>
      <c r="G5" s="59" t="s">
        <v>264</v>
      </c>
    </row>
    <row r="6" spans="1:7" ht="49.95" customHeight="1" x14ac:dyDescent="0.3">
      <c r="A6" s="2">
        <v>3</v>
      </c>
      <c r="B6" s="53" t="s">
        <v>124</v>
      </c>
      <c r="C6" s="2" t="s">
        <v>125</v>
      </c>
      <c r="D6" s="18" t="s">
        <v>37</v>
      </c>
      <c r="E6" s="19" t="s">
        <v>265</v>
      </c>
      <c r="F6" s="20" t="e">
        <f>CAPEX_SPEND_YTD / (CAPEX_SPEND_YTD + OPEX_SPEND_YTD) * 100</f>
        <v>#NAME?</v>
      </c>
      <c r="G6" s="21" t="s">
        <v>266</v>
      </c>
    </row>
    <row r="7" spans="1:7" ht="49.95" customHeight="1" x14ac:dyDescent="0.3">
      <c r="A7" s="54">
        <v>4</v>
      </c>
      <c r="B7" s="55" t="s">
        <v>127</v>
      </c>
      <c r="C7" s="54" t="s">
        <v>128</v>
      </c>
      <c r="D7" s="56" t="s">
        <v>37</v>
      </c>
      <c r="E7" s="57" t="s">
        <v>267</v>
      </c>
      <c r="F7" s="58" t="e">
        <f>OPEX_SPEND_YTD / (CAPEX_SPEND_YTD + OPEX_SPEND_YTD) * 100</f>
        <v>#NAME?</v>
      </c>
      <c r="G7" s="59" t="s">
        <v>268</v>
      </c>
    </row>
    <row r="8" spans="1:7" ht="49.95" customHeight="1" x14ac:dyDescent="0.3">
      <c r="A8" s="2">
        <v>5</v>
      </c>
      <c r="B8" s="53" t="s">
        <v>130</v>
      </c>
      <c r="C8" s="2" t="s">
        <v>131</v>
      </c>
      <c r="D8" s="18" t="s">
        <v>17</v>
      </c>
      <c r="E8" s="19" t="s">
        <v>269</v>
      </c>
      <c r="F8" s="20" t="s">
        <v>270</v>
      </c>
      <c r="G8" s="21" t="s">
        <v>271</v>
      </c>
    </row>
    <row r="9" spans="1:7" ht="49.95" customHeight="1" x14ac:dyDescent="0.3">
      <c r="A9" s="54">
        <v>6</v>
      </c>
      <c r="B9" s="55" t="s">
        <v>133</v>
      </c>
      <c r="C9" s="54" t="s">
        <v>134</v>
      </c>
      <c r="D9" s="56" t="s">
        <v>17</v>
      </c>
      <c r="E9" s="57" t="s">
        <v>272</v>
      </c>
      <c r="F9" s="58" t="s">
        <v>273</v>
      </c>
      <c r="G9" s="59" t="s">
        <v>274</v>
      </c>
    </row>
    <row r="10" spans="1:7" ht="49.95" customHeight="1" x14ac:dyDescent="0.3">
      <c r="A10" s="2">
        <v>7</v>
      </c>
      <c r="B10" s="53" t="s">
        <v>136</v>
      </c>
      <c r="C10" s="2" t="s">
        <v>137</v>
      </c>
      <c r="D10" s="18" t="s">
        <v>12</v>
      </c>
      <c r="E10" s="19" t="s">
        <v>275</v>
      </c>
      <c r="F10" s="20" t="s">
        <v>276</v>
      </c>
      <c r="G10" s="21" t="s">
        <v>277</v>
      </c>
    </row>
    <row r="11" spans="1:7" ht="49.95" customHeight="1" x14ac:dyDescent="0.3">
      <c r="A11" s="54">
        <v>8</v>
      </c>
      <c r="B11" s="55" t="s">
        <v>139</v>
      </c>
      <c r="C11" s="54" t="s">
        <v>140</v>
      </c>
      <c r="D11" s="56" t="s">
        <v>12</v>
      </c>
      <c r="E11" s="57" t="s">
        <v>278</v>
      </c>
      <c r="F11" s="58" t="s">
        <v>279</v>
      </c>
      <c r="G11" s="59" t="s">
        <v>280</v>
      </c>
    </row>
    <row r="12" spans="1:7" ht="49.95" customHeight="1" x14ac:dyDescent="0.3">
      <c r="A12" s="2">
        <v>9</v>
      </c>
      <c r="B12" s="53" t="s">
        <v>142</v>
      </c>
      <c r="C12" s="2" t="s">
        <v>143</v>
      </c>
      <c r="D12" s="18" t="s">
        <v>12</v>
      </c>
      <c r="E12" s="19" t="s">
        <v>281</v>
      </c>
      <c r="F12" s="20" t="s">
        <v>282</v>
      </c>
      <c r="G12" s="21" t="s">
        <v>283</v>
      </c>
    </row>
    <row r="13" spans="1:7" ht="49.95" customHeight="1" x14ac:dyDescent="0.3">
      <c r="A13" s="54">
        <v>10</v>
      </c>
      <c r="B13" s="55" t="s">
        <v>145</v>
      </c>
      <c r="C13" s="54" t="s">
        <v>146</v>
      </c>
      <c r="D13" s="56" t="s">
        <v>12</v>
      </c>
      <c r="E13" s="57" t="s">
        <v>284</v>
      </c>
      <c r="F13" s="58" t="s">
        <v>285</v>
      </c>
      <c r="G13" s="59" t="s">
        <v>286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Procurement</vt:lpstr>
      <vt:lpstr>Financial</vt:lpstr>
      <vt:lpstr>Leadership</vt:lpstr>
      <vt:lpstr>Vendor</vt:lpstr>
      <vt:lpstr>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Sharma</cp:lastModifiedBy>
  <dcterms:created xsi:type="dcterms:W3CDTF">2026-06-29T12:00:48Z</dcterms:created>
  <dcterms:modified xsi:type="dcterms:W3CDTF">2026-07-10T10:37:38Z</dcterms:modified>
</cp:coreProperties>
</file>